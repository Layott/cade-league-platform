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Settings" sheetId="2" r:id="rId6"/>
    <sheet state="visible" name="Players" sheetId="3" r:id="rId7"/>
    <sheet state="visible" name="Matches" sheetId="4" r:id="rId8"/>
    <sheet state="visible" name="Adjustments" sheetId="5" r:id="rId9"/>
    <sheet state="visible" name="Stats" sheetId="6" r:id="rId10"/>
    <sheet state="visible" name="Leaderboard" sheetId="7" r:id="rId11"/>
    <sheet state="visible" name="Head2Head" sheetId="8" r:id="rId12"/>
    <sheet state="visible" name="Log" sheetId="9" r:id="rId13"/>
    <sheet state="visible" name="Penalty Summary" sheetId="10" r:id="rId14"/>
    <sheet state="visible" name="Metrics_Dashboard" sheetId="11" r:id="rId15"/>
  </sheets>
  <definedNames/>
  <calcPr/>
</workbook>
</file>

<file path=xl/sharedStrings.xml><?xml version="1.0" encoding="utf-8"?>
<sst xmlns="http://schemas.openxmlformats.org/spreadsheetml/2006/main" count="860" uniqueCount="223">
  <si>
    <t>League Manager – Instructions</t>
  </si>
  <si>
    <t>Column Name</t>
  </si>
  <si>
    <t>Full Meaning</t>
  </si>
  <si>
    <t>Simple Explanation / How it’s Calculated</t>
  </si>
  <si>
    <t>P</t>
  </si>
  <si>
    <t>Played</t>
  </si>
  <si>
    <t>Total number of matches played</t>
  </si>
  <si>
    <t>1) Setup (one-time)</t>
  </si>
  <si>
    <t>W</t>
  </si>
  <si>
    <t>Wins</t>
  </si>
  <si>
    <t>Number of matches won</t>
  </si>
  <si>
    <t>Players: enter all player names in Players!PlayerName (column B).</t>
  </si>
  <si>
    <t>D</t>
  </si>
  <si>
    <t>Draws</t>
  </si>
  <si>
    <t>Number of matches drawn</t>
  </si>
  <si>
    <t>Settings: set points for Win/Draw/Loss + Walkover points, and Walkover default score (3–0 by default).</t>
  </si>
  <si>
    <t>L</t>
  </si>
  <si>
    <t>Losses</t>
  </si>
  <si>
    <t>Number of matches lost</t>
  </si>
  <si>
    <t>GF</t>
  </si>
  <si>
    <t>Goals For</t>
  </si>
  <si>
    <t>Total goals scored</t>
  </si>
  <si>
    <t>2) Entering match results</t>
  </si>
  <si>
    <t>GA</t>
  </si>
  <si>
    <t>Goals Against</t>
  </si>
  <si>
    <t>Total goals conceded</t>
  </si>
  <si>
    <t>Matches: fill ONLY Date, Home, Away, HomeGoals, AwayGoals, Status, Notes.</t>
  </si>
  <si>
    <t>GD</t>
  </si>
  <si>
    <t>Goal Difference</t>
  </si>
  <si>
    <t>GF − GA</t>
  </si>
  <si>
    <t>Status dropdown:</t>
  </si>
  <si>
    <t>PtsMatches</t>
  </si>
  <si>
    <t>Points from Matches</t>
  </si>
  <si>
    <t>Points earned from wins, draws, walkovers</t>
  </si>
  <si>
    <t>Played (normal result)</t>
  </si>
  <si>
    <t>PtsAdj</t>
  </si>
  <si>
    <t>Points Adjustment</t>
  </si>
  <si>
    <t>Manual admin adjustments (penalties/bonuses)</t>
  </si>
  <si>
    <t>Walkover_Home (Home awarded win; uses walkover default score + walkover points</t>
  </si>
  <si>
    <t>TotalPts</t>
  </si>
  <si>
    <t>Total Points</t>
  </si>
  <si>
    <t>PtsMatches + PtsAdj</t>
  </si>
  <si>
    <t>Walkover_Away (Away awarded win; uses walkover default score + walkover points)</t>
  </si>
  <si>
    <t>Pos</t>
  </si>
  <si>
    <t>Position</t>
  </si>
  <si>
    <t>Current leaderboard rank</t>
  </si>
  <si>
    <t>Cancelled (ignored completely)</t>
  </si>
  <si>
    <t>Clean Sheets</t>
  </si>
  <si>
    <t>Matches where 0 goals were conceded</t>
  </si>
  <si>
    <t>Avg GF</t>
  </si>
  <si>
    <t>Average Goals For</t>
  </si>
  <si>
    <t>GF ÷ P</t>
  </si>
  <si>
    <t>3) Deductions / penalties</t>
  </si>
  <si>
    <t>Avg GA</t>
  </si>
  <si>
    <t>Average Goals Against</t>
  </si>
  <si>
    <t>GA ÷ P</t>
  </si>
  <si>
    <t>Adjustments: add Player + PointsAdj (negative) + Reason.</t>
  </si>
  <si>
    <t>WinRate %</t>
  </si>
  <si>
    <t>Win Rate Percentage</t>
  </si>
  <si>
    <t>W ÷ P × 100</t>
  </si>
  <si>
    <t>Biggest Win</t>
  </si>
  <si>
    <t>Biggest Win Margin</t>
  </si>
  <si>
    <t>Largest goal difference in a win</t>
  </si>
  <si>
    <t>4) Outputs</t>
  </si>
  <si>
    <t>Biggest Loss</t>
  </si>
  <si>
    <t>Biggest Loss Margin</t>
  </si>
  <si>
    <t>Largest goal difference in a loss</t>
  </si>
  <si>
    <t>Leaderboard: auto-sorted from Stats by TotalPts (tie-breakers: GD then GF then name).</t>
  </si>
  <si>
    <t>Walkovers Given</t>
  </si>
  <si>
    <t>Times player forfeited (opponent got WO)</t>
  </si>
  <si>
    <t>Stats: full season metrics (clean sheets, averages, win rate, biggest win/loss, walkovers, etc.).</t>
  </si>
  <si>
    <t>Walkovers Received</t>
  </si>
  <si>
    <t>Times player won by opponent forfeit</t>
  </si>
  <si>
    <t>Head2Head: pick two players and view their direct stats vs each other.</t>
  </si>
  <si>
    <t>Pts Per Game</t>
  </si>
  <si>
    <t>Points Per Game</t>
  </si>
  <si>
    <t>TotalPts ÷ P</t>
  </si>
  <si>
    <t>Google Sheets note:</t>
  </si>
  <si>
    <t>After you upload, confirm Data validation dropdowns still reference Players/Settings lists (Google sometimes resets them).</t>
  </si>
  <si>
    <t>CADE League Spreadsheet Settings</t>
  </si>
  <si>
    <t>Win Pts (Winner)</t>
  </si>
  <si>
    <t>Win Pts (Loser)</t>
  </si>
  <si>
    <t>Draw Pts (Each)</t>
  </si>
  <si>
    <t>Loss Pts (Loser) [optional]</t>
  </si>
  <si>
    <t>Walkover Pts (Winner)</t>
  </si>
  <si>
    <t>Walkover Pts (Loser)</t>
  </si>
  <si>
    <t>Walkover Winner Goals For</t>
  </si>
  <si>
    <t>Walkover Loser Goals For</t>
  </si>
  <si>
    <t>Status options (do not edit)</t>
  </si>
  <si>
    <t>Walkover_Home</t>
  </si>
  <si>
    <t>Walkover_Away</t>
  </si>
  <si>
    <t>Cancelled</t>
  </si>
  <si>
    <t>Players (enter names once; used by dropdowns)</t>
  </si>
  <si>
    <t>PlayerID</t>
  </si>
  <si>
    <t>PlayerName</t>
  </si>
  <si>
    <t>MR OGA</t>
  </si>
  <si>
    <t>ANIFE</t>
  </si>
  <si>
    <t>BAJI SNR</t>
  </si>
  <si>
    <t>GURU</t>
  </si>
  <si>
    <t>KAYKAY</t>
  </si>
  <si>
    <t>TACTICAL</t>
  </si>
  <si>
    <t>WOLEVATION</t>
  </si>
  <si>
    <t>KHALEEDOY</t>
  </si>
  <si>
    <t>BALO K</t>
  </si>
  <si>
    <t>YEMOLEE</t>
  </si>
  <si>
    <t>RHYMEZ</t>
  </si>
  <si>
    <t>SIMPLYY UZO</t>
  </si>
  <si>
    <t>BLAISE99</t>
  </si>
  <si>
    <t>GAMEWITHJOSH</t>
  </si>
  <si>
    <t>DADABOI</t>
  </si>
  <si>
    <t>SON OF GOD</t>
  </si>
  <si>
    <t>DRACARYS</t>
  </si>
  <si>
    <t>FLICK</t>
  </si>
  <si>
    <t>BRIGHT</t>
  </si>
  <si>
    <t>KINGNONEX</t>
  </si>
  <si>
    <t>Match Input (blue cells). Enter Date, Home, Away, Scores OR choose Walkover status.</t>
  </si>
  <si>
    <t>MatchID</t>
  </si>
  <si>
    <t>Date</t>
  </si>
  <si>
    <t>Home</t>
  </si>
  <si>
    <t>Away</t>
  </si>
  <si>
    <t>Home Goals (input)</t>
  </si>
  <si>
    <t>Away Goals (input)</t>
  </si>
  <si>
    <t>Status</t>
  </si>
  <si>
    <t>Home Goals (effective)</t>
  </si>
  <si>
    <t>Away Goals (effective)</t>
  </si>
  <si>
    <t>Home Pts</t>
  </si>
  <si>
    <t>Away Pts</t>
  </si>
  <si>
    <t>Played Flag</t>
  </si>
  <si>
    <t>Home W</t>
  </si>
  <si>
    <t>Home D</t>
  </si>
  <si>
    <t>Home L</t>
  </si>
  <si>
    <t>Away W</t>
  </si>
  <si>
    <t>Away D</t>
  </si>
  <si>
    <t>Away L</t>
  </si>
  <si>
    <t>Winner</t>
  </si>
  <si>
    <t>Notes</t>
  </si>
  <si>
    <t>Home Margin</t>
  </si>
  <si>
    <t>Away Margin</t>
  </si>
  <si>
    <t>Home Loss Margin</t>
  </si>
  <si>
    <t>Away Loss Margin</t>
  </si>
  <si>
    <t>Point Adjustments / Deductions (enter negative numbers to deduct points)</t>
  </si>
  <si>
    <t>Player</t>
  </si>
  <si>
    <t>Metric</t>
  </si>
  <si>
    <t>Value</t>
  </si>
  <si>
    <t>Reason</t>
  </si>
  <si>
    <t>Stood up mid match and quit, decided to leave.</t>
  </si>
  <si>
    <t>Per-player Statistics (auto-calculated)</t>
  </si>
  <si>
    <t>Last5Pts</t>
  </si>
  <si>
    <t>FormScore</t>
  </si>
  <si>
    <t>Adj_MP</t>
  </si>
  <si>
    <t>Adj_W</t>
  </si>
  <si>
    <t>Adj_D</t>
  </si>
  <si>
    <t>Adj_L</t>
  </si>
  <si>
    <t>Adj_GF</t>
  </si>
  <si>
    <t>Adj_GA</t>
  </si>
  <si>
    <t>Adj_GD</t>
  </si>
  <si>
    <t>Adj_PTS</t>
  </si>
  <si>
    <t>Leaderboard (auto-sorted by TotalPts, GD, GF, then name)</t>
  </si>
  <si>
    <t>MP</t>
  </si>
  <si>
    <t>Pts Matches</t>
  </si>
  <si>
    <t>Pts Adj</t>
  </si>
  <si>
    <t>Total Pts</t>
  </si>
  <si>
    <t>Head-to-Head Comparison (overall + direct)</t>
  </si>
  <si>
    <t>Player A</t>
  </si>
  <si>
    <t>Player B</t>
  </si>
  <si>
    <t>Overall Season Snapshot (from Stats)</t>
  </si>
  <si>
    <t>Win Rate %</t>
  </si>
  <si>
    <t>Avg Goals Scored</t>
  </si>
  <si>
    <t>Avg Goals Conceded</t>
  </si>
  <si>
    <t>Biggest Win (margin)</t>
  </si>
  <si>
    <t>Biggest Loss (margin)</t>
  </si>
  <si>
    <t>Win Probability (A vs B)</t>
  </si>
  <si>
    <t>Strength A / Strength B</t>
  </si>
  <si>
    <t>P(A wins)</t>
  </si>
  <si>
    <t>MAYOR USE THESE</t>
  </si>
  <si>
    <t>P(B wins)</t>
  </si>
  <si>
    <t>P(Draw)</t>
  </si>
  <si>
    <t>Total Check</t>
  </si>
  <si>
    <t>H2H Matches (N)</t>
  </si>
  <si>
    <t>H2H Wins (A)</t>
  </si>
  <si>
    <t>H2H Draws</t>
  </si>
  <si>
    <t>H2H GF (A)</t>
  </si>
  <si>
    <t>H2H GA (A)</t>
  </si>
  <si>
    <t>H2H Score (A)</t>
  </si>
  <si>
    <t>Season Score (A)</t>
  </si>
  <si>
    <t>Form Score (A)</t>
  </si>
  <si>
    <t>Strength (A)</t>
  </si>
  <si>
    <t>Strength (B)</t>
  </si>
  <si>
    <t>Opponent</t>
  </si>
  <si>
    <t>ResultFlag</t>
  </si>
  <si>
    <t>Points</t>
  </si>
  <si>
    <t>Plater</t>
  </si>
  <si>
    <t>Totals by Player</t>
  </si>
  <si>
    <t>Totals by Metric</t>
  </si>
  <si>
    <t>Total PTS Adj</t>
  </si>
  <si>
    <t>Total GD Adj</t>
  </si>
  <si>
    <t>Total Value</t>
  </si>
  <si>
    <t>Top Penalties (PTS)</t>
  </si>
  <si>
    <t>Rank</t>
  </si>
  <si>
    <t>Top Rewards (PTS)</t>
  </si>
  <si>
    <t>PlayerCol</t>
  </si>
  <si>
    <t>PCol</t>
  </si>
  <si>
    <t>WCol</t>
  </si>
  <si>
    <t>DCol</t>
  </si>
  <si>
    <t>LCol</t>
  </si>
  <si>
    <t>GFCol</t>
  </si>
  <si>
    <t>GACol</t>
  </si>
  <si>
    <t>GDCol</t>
  </si>
  <si>
    <t>Last5PtsCol</t>
  </si>
  <si>
    <t>TotalPtsCol</t>
  </si>
  <si>
    <t>FormScoreCol</t>
  </si>
  <si>
    <t>TOTAL GOALS (SEASON)</t>
  </si>
  <si>
    <t>AVG GOALS PER GAME</t>
  </si>
  <si>
    <t>LEAGUE DRAW RATE</t>
  </si>
  <si>
    <t>POWER RANKING (TOP 10)</t>
  </si>
  <si>
    <t>TOTAL POINTS</t>
  </si>
  <si>
    <t>GOAL DIFFERENCE</t>
  </si>
  <si>
    <t>BEST DEFENSE (TOP 10)</t>
  </si>
  <si>
    <t>BEST FORM (LAST 5 POINTS)</t>
  </si>
  <si>
    <t>GOLDEN BOOT (TOP 10)</t>
  </si>
  <si>
    <t>HIGHEST SCORING MATCH</t>
  </si>
  <si>
    <t>Total Goals</t>
  </si>
  <si>
    <t>BIGGEST WIN (MARGIN)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</si>
</sst>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22">
    <font>
      <sz val="11.0"/>
      <color theme="1"/>
      <name val="Calibri"/>
      <scheme val="minor"/>
    </font>
    <font>
      <b/>
      <sz val="14.0"/>
      <color theme="1"/>
      <name val="Comic Sans MS"/>
    </font>
    <font>
      <sz val="14.0"/>
      <color theme="1"/>
      <name val="Calibri"/>
    </font>
    <font>
      <sz val="14.0"/>
      <color theme="1"/>
      <name val="Comic Sans MS"/>
    </font>
    <font>
      <sz val="10.0"/>
      <color theme="1"/>
      <name val="Comic Sans MS"/>
    </font>
    <font>
      <b/>
      <sz val="10.0"/>
      <color theme="1"/>
      <name val="Comic Sans MS"/>
    </font>
    <font>
      <sz val="10.0"/>
      <color theme="1"/>
      <name val="Calibri"/>
    </font>
    <font>
      <sz val="10.0"/>
      <color rgb="FF0000FF"/>
      <name val="Comic Sans MS"/>
    </font>
    <font>
      <b/>
      <sz val="10.0"/>
      <color rgb="FFFFFFFF"/>
      <name val="Comic Sans MS"/>
    </font>
    <font>
      <sz val="10.0"/>
      <color rgb="FF000000"/>
      <name val="Comic Sans MS"/>
    </font>
    <font>
      <b/>
      <sz val="10.0"/>
      <color rgb="FF000000"/>
      <name val="Comic Sans MS"/>
    </font>
    <font>
      <sz val="14.0"/>
      <color theme="1"/>
      <name val="Calibri"/>
      <scheme val="minor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  <font>
      <color theme="1"/>
      <name val="Calibri"/>
      <scheme val="minor"/>
    </font>
    <font>
      <i/>
      <sz val="10.0"/>
      <color theme="1"/>
      <name val="Comic Sans MS"/>
    </font>
    <font/>
    <font>
      <b/>
      <sz val="12.0"/>
      <color theme="1"/>
      <name val="Calibri"/>
      <scheme val="minor"/>
    </font>
    <font>
      <b/>
      <sz val="12.0"/>
      <color theme="1"/>
      <name val="Comic Sans MS"/>
    </font>
    <font>
      <color theme="1"/>
      <name val="Comic Sans MS"/>
    </font>
    <font>
      <b/>
      <sz val="11.0"/>
      <color theme="1"/>
      <name val="Comic Sans MS"/>
    </font>
    <font>
      <sz val="11.0"/>
      <color theme="1"/>
      <name val="Comic Sans MS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B8CCE4"/>
        <bgColor rgb="FFB8CCE4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</fills>
  <borders count="30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medium">
        <color rgb="FF00FFFF"/>
      </left>
      <top style="medium">
        <color rgb="FF00FFFF"/>
      </top>
    </border>
    <border>
      <right style="medium">
        <color rgb="FF00FFFF"/>
      </right>
      <top style="medium">
        <color rgb="FF00FFFF"/>
      </top>
    </border>
    <border>
      <left style="medium">
        <color rgb="FF00FFFF"/>
      </left>
    </border>
    <border>
      <right style="medium">
        <color rgb="FF00FFFF"/>
      </right>
    </border>
    <border>
      <left style="medium">
        <color rgb="FF00FFFF"/>
      </left>
      <bottom style="medium">
        <color rgb="FF00FFFF"/>
      </bottom>
    </border>
    <border>
      <right style="medium">
        <color rgb="FF00FFFF"/>
      </right>
      <bottom style="medium">
        <color rgb="FF00FFFF"/>
      </bottom>
    </border>
    <border>
      <left style="medium">
        <color rgb="FF00FFFF"/>
      </left>
      <right style="thin">
        <color rgb="FF000000"/>
      </right>
      <top style="medium">
        <color rgb="FF00FFFF"/>
      </top>
    </border>
    <border>
      <left style="thin">
        <color rgb="FF000000"/>
      </left>
      <right style="thin">
        <color rgb="FF000000"/>
      </right>
      <top style="medium">
        <color rgb="FF00FFFF"/>
      </top>
    </border>
    <border>
      <left style="thin">
        <color rgb="FF000000"/>
      </left>
      <right style="medium">
        <color rgb="FF00FFFF"/>
      </right>
      <top style="medium">
        <color rgb="FF00FFFF"/>
      </top>
    </border>
    <border>
      <bottom style="medium">
        <color rgb="FF00FFFF"/>
      </bottom>
    </border>
    <border>
      <top style="medium">
        <color rgb="FF00FFFF"/>
      </top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3" fontId="1" numFmtId="0" xfId="0" applyAlignment="1" applyBorder="1" applyFill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6" fillId="4" fontId="4" numFmtId="0" xfId="0" applyAlignment="1" applyBorder="1" applyFill="1" applyFont="1">
      <alignment horizontal="left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horizontal="left" readingOrder="0" shrinkToFit="0" vertical="center" wrapText="1"/>
    </xf>
    <xf borderId="6" fillId="0" fontId="4" numFmtId="0" xfId="0" applyAlignment="1" applyBorder="1" applyFont="1">
      <alignment horizontal="left" shrinkToFit="0" vertical="center" wrapText="1"/>
    </xf>
    <xf borderId="6" fillId="0" fontId="5" numFmtId="0" xfId="0" applyAlignment="1" applyBorder="1" applyFont="1">
      <alignment horizontal="left" readingOrder="0" shrinkToFit="0" vertical="center" wrapText="1"/>
    </xf>
    <xf borderId="6" fillId="0" fontId="4" numFmtId="0" xfId="0" applyAlignment="1" applyBorder="1" applyFont="1">
      <alignment horizontal="left" readingOrder="0" shrinkToFit="0" textRotation="0" vertical="center" wrapText="1"/>
    </xf>
    <xf borderId="7" fillId="0" fontId="4" numFmtId="0" xfId="0" applyAlignment="1" applyBorder="1" applyFont="1">
      <alignment horizontal="left" shrinkToFit="0" vertical="center" wrapText="1"/>
    </xf>
    <xf borderId="8" fillId="0" fontId="4" numFmtId="0" xfId="0" applyAlignment="1" applyBorder="1" applyFont="1">
      <alignment horizontal="left" shrinkToFit="0" vertical="center" wrapText="1"/>
    </xf>
    <xf borderId="9" fillId="0" fontId="4" numFmtId="0" xfId="0" applyAlignment="1" applyBorder="1" applyFont="1">
      <alignment horizontal="left" shrinkToFit="0" vertical="center" wrapText="1"/>
    </xf>
    <xf borderId="10" fillId="0" fontId="4" numFmtId="0" xfId="0" applyAlignment="1" applyBorder="1" applyFont="1">
      <alignment horizontal="left" readingOrder="0" shrinkToFit="0" vertical="center" wrapText="1"/>
    </xf>
    <xf borderId="11" fillId="0" fontId="4" numFmtId="0" xfId="0" applyAlignment="1" applyBorder="1" applyFont="1">
      <alignment horizontal="left" shrinkToFit="0" vertical="center" wrapText="1"/>
    </xf>
    <xf borderId="12" fillId="0" fontId="4" numFmtId="0" xfId="0" applyAlignment="1" applyBorder="1" applyFont="1">
      <alignment horizontal="left" shrinkToFit="0" vertical="center" wrapText="1"/>
    </xf>
    <xf borderId="13" fillId="0" fontId="4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4" fillId="5" fontId="7" numFmtId="0" xfId="0" applyAlignment="1" applyBorder="1" applyFill="1" applyFont="1">
      <alignment horizontal="center" shrinkToFit="0" vertical="center" wrapText="1"/>
    </xf>
    <xf borderId="14" fillId="5" fontId="4" numFmtId="0" xfId="0" applyAlignment="1" applyBorder="1" applyFont="1">
      <alignment horizontal="center" shrinkToFit="0" vertical="center" wrapText="1"/>
    </xf>
    <xf borderId="15" fillId="6" fontId="8" numFmtId="0" xfId="0" applyAlignment="1" applyBorder="1" applyFill="1" applyFont="1">
      <alignment horizontal="center" shrinkToFit="0" vertical="center" wrapText="1"/>
    </xf>
    <xf borderId="15" fillId="0" fontId="4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5" fillId="6" fontId="8" numFmtId="0" xfId="0" applyAlignment="1" applyBorder="1" applyFont="1">
      <alignment horizontal="center" shrinkToFit="0" vertical="center" wrapText="1"/>
    </xf>
    <xf borderId="15" fillId="6" fontId="8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15" fillId="0" fontId="4" numFmtId="0" xfId="0" applyAlignment="1" applyBorder="1" applyFont="1">
      <alignment horizontal="center" shrinkToFit="0" vertical="center" wrapText="1"/>
    </xf>
    <xf borderId="15" fillId="0" fontId="7" numFmtId="164" xfId="0" applyAlignment="1" applyBorder="1" applyFont="1" applyNumberFormat="1">
      <alignment horizontal="center" readingOrder="0" shrinkToFit="0" vertical="center" wrapText="1"/>
    </xf>
    <xf borderId="15" fillId="0" fontId="7" numFmtId="0" xfId="0" applyAlignment="1" applyBorder="1" applyFont="1">
      <alignment horizontal="center" readingOrder="0" shrinkToFit="0" vertical="center" wrapText="1"/>
    </xf>
    <xf borderId="15" fillId="0" fontId="7" numFmtId="0" xfId="0" applyAlignment="1" applyBorder="1" applyFont="1">
      <alignment horizontal="center" shrinkToFit="0" vertical="center" wrapText="1"/>
    </xf>
    <xf borderId="15" fillId="0" fontId="9" numFmtId="0" xfId="0" applyAlignment="1" applyBorder="1" applyFont="1">
      <alignment horizontal="center" shrinkToFit="0" vertical="center" wrapText="1"/>
    </xf>
    <xf borderId="15" fillId="0" fontId="10" numFmtId="0" xfId="0" applyAlignment="1" applyBorder="1" applyFont="1">
      <alignment horizontal="center" shrinkToFit="0" vertical="center" wrapText="1"/>
    </xf>
    <xf borderId="15" fillId="0" fontId="7" numFmtId="164" xfId="0" applyAlignment="1" applyBorder="1" applyFont="1" applyNumberFormat="1">
      <alignment horizontal="center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6" fontId="8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15" fillId="0" fontId="9" numFmtId="0" xfId="0" applyAlignment="1" applyBorder="1" applyFont="1">
      <alignment horizontal="center" shrinkToFit="0" vertical="center" wrapText="1"/>
    </xf>
    <xf borderId="15" fillId="0" fontId="10" numFmtId="0" xfId="0" applyAlignment="1" applyBorder="1" applyFont="1">
      <alignment horizontal="center" shrinkToFit="0" vertical="center" wrapText="1"/>
    </xf>
    <xf borderId="0" fillId="0" fontId="4" numFmtId="1" xfId="0" applyAlignment="1" applyFont="1" applyNumberFormat="1">
      <alignment horizontal="center" shrinkToFit="0" vertical="center" wrapText="1"/>
    </xf>
    <xf borderId="0" fillId="0" fontId="4" numFmtId="2" xfId="0" applyAlignment="1" applyFont="1" applyNumberFormat="1">
      <alignment horizontal="center" shrinkToFit="0" vertical="center" wrapText="1"/>
    </xf>
    <xf borderId="0" fillId="0" fontId="4" numFmtId="10" xfId="0" applyAlignment="1" applyFont="1" applyNumberForma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15" fillId="6" fontId="8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15" fillId="0" fontId="5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15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4" fillId="7" fontId="5" numFmtId="0" xfId="0" applyAlignment="1" applyBorder="1" applyFill="1" applyFont="1">
      <alignment horizontal="center" readingOrder="0" shrinkToFit="0" vertical="center" wrapText="1"/>
    </xf>
    <xf borderId="16" fillId="8" fontId="5" numFmtId="0" xfId="0" applyAlignment="1" applyBorder="1" applyFill="1" applyFont="1">
      <alignment horizontal="center" shrinkToFit="0" vertical="center" wrapText="1"/>
    </xf>
    <xf borderId="17" fillId="0" fontId="16" numFmtId="0" xfId="0" applyBorder="1" applyFont="1"/>
    <xf borderId="18" fillId="0" fontId="16" numFmtId="0" xfId="0" applyBorder="1" applyFont="1"/>
    <xf borderId="15" fillId="0" fontId="5" numFmtId="0" xfId="0" applyAlignment="1" applyBorder="1" applyFont="1">
      <alignment horizontal="center" shrinkToFit="0" vertical="center" wrapText="1"/>
    </xf>
    <xf borderId="0" fillId="9" fontId="4" numFmtId="0" xfId="0" applyAlignment="1" applyFill="1" applyFont="1">
      <alignment horizontal="center" shrinkToFit="0" vertical="center" wrapText="1"/>
    </xf>
    <xf borderId="0" fillId="9" fontId="4" numFmtId="10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10" fontId="4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4" numFmtId="10" xfId="0" applyAlignment="1" applyFont="1" applyNumberFormat="1">
      <alignment horizontal="center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4" numFmtId="164" xfId="0" applyAlignment="1" applyFont="1" applyNumberFormat="1">
      <alignment horizontal="center" shrinkToFit="0" vertical="center" wrapText="1"/>
    </xf>
    <xf borderId="0" fillId="2" fontId="18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2" fontId="19" numFmtId="0" xfId="0" applyAlignment="1" applyFont="1">
      <alignment readingOrder="0"/>
    </xf>
    <xf borderId="0" fillId="4" fontId="20" numFmtId="0" xfId="0" applyAlignment="1" applyFon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0" fillId="4" fontId="4" numFmtId="0" xfId="0" applyAlignment="1" applyFont="1">
      <alignment readingOrder="0"/>
    </xf>
    <xf borderId="0" fillId="4" fontId="20" numFmtId="0" xfId="0" applyAlignment="1" applyFont="1">
      <alignment readingOrder="0"/>
    </xf>
    <xf borderId="0" fillId="0" fontId="21" numFmtId="0" xfId="0" applyAlignment="1" applyFont="1">
      <alignment horizontal="center" shrinkToFit="0" vertical="center" wrapText="1"/>
    </xf>
    <xf borderId="0" fillId="3" fontId="20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19" fillId="0" fontId="12" numFmtId="0" xfId="0" applyAlignment="1" applyBorder="1" applyFont="1">
      <alignment horizontal="center" readingOrder="0" shrinkToFit="0" vertical="center" wrapText="1"/>
    </xf>
    <xf borderId="20" fillId="0" fontId="13" numFmtId="0" xfId="0" applyAlignment="1" applyBorder="1" applyFont="1">
      <alignment horizontal="center" shrinkToFit="0" vertical="center" wrapText="1"/>
    </xf>
    <xf borderId="21" fillId="0" fontId="12" numFmtId="0" xfId="0" applyAlignment="1" applyBorder="1" applyFont="1">
      <alignment horizontal="center" readingOrder="0" shrinkToFit="0" vertical="center" wrapText="1"/>
    </xf>
    <xf borderId="22" fillId="0" fontId="13" numFmtId="0" xfId="0" applyAlignment="1" applyBorder="1" applyFont="1">
      <alignment horizontal="center" shrinkToFit="0" vertical="center" wrapText="1"/>
    </xf>
    <xf borderId="23" fillId="0" fontId="12" numFmtId="0" xfId="0" applyAlignment="1" applyBorder="1" applyFont="1">
      <alignment horizontal="center" readingOrder="0" shrinkToFit="0" vertical="center" wrapText="1"/>
    </xf>
    <xf borderId="24" fillId="0" fontId="13" numFmtId="0" xfId="0" applyAlignment="1" applyBorder="1" applyFont="1">
      <alignment horizontal="center" shrinkToFit="0" vertical="center" wrapText="1"/>
    </xf>
    <xf borderId="25" fillId="4" fontId="17" numFmtId="0" xfId="0" applyAlignment="1" applyBorder="1" applyFont="1">
      <alignment horizontal="center" readingOrder="0" shrinkToFit="0" vertical="center" wrapText="1"/>
    </xf>
    <xf borderId="26" fillId="4" fontId="17" numFmtId="0" xfId="0" applyAlignment="1" applyBorder="1" applyFont="1">
      <alignment horizontal="center" shrinkToFit="0" vertical="center" wrapText="1"/>
    </xf>
    <xf borderId="26" fillId="4" fontId="17" numFmtId="0" xfId="0" applyAlignment="1" applyBorder="1" applyFont="1">
      <alignment horizontal="center" readingOrder="0" shrinkToFit="0" vertical="center" wrapText="1"/>
    </xf>
    <xf borderId="27" fillId="4" fontId="17" numFmtId="0" xfId="0" applyAlignment="1" applyBorder="1" applyFont="1">
      <alignment horizontal="center" readingOrder="0" shrinkToFit="0" vertical="center" wrapText="1"/>
    </xf>
    <xf borderId="19" fillId="4" fontId="17" numFmtId="0" xfId="0" applyAlignment="1" applyBorder="1" applyFont="1">
      <alignment horizontal="center" readingOrder="0" shrinkToFit="0" vertical="center" wrapText="1"/>
    </xf>
    <xf borderId="20" fillId="0" fontId="16" numFmtId="0" xfId="0" applyBorder="1" applyFont="1"/>
    <xf borderId="21" fillId="0" fontId="13" numFmtId="0" xfId="0" applyAlignment="1" applyBorder="1" applyFont="1">
      <alignment horizontal="center" shrinkToFit="0" vertical="center" wrapText="1"/>
    </xf>
    <xf borderId="21" fillId="0" fontId="12" numFmtId="0" xfId="0" applyAlignment="1" applyBorder="1" applyFont="1">
      <alignment horizontal="center" shrinkToFit="0" vertical="center" wrapText="1"/>
    </xf>
    <xf borderId="22" fillId="0" fontId="12" numFmtId="0" xfId="0" applyAlignment="1" applyBorder="1" applyFont="1">
      <alignment horizontal="center" shrinkToFit="0" vertical="center" wrapText="1"/>
    </xf>
    <xf borderId="23" fillId="0" fontId="13" numFmtId="0" xfId="0" applyAlignment="1" applyBorder="1" applyFont="1">
      <alignment horizontal="center" shrinkToFit="0" vertical="center" wrapText="1"/>
    </xf>
    <xf borderId="28" fillId="0" fontId="13" numFmtId="0" xfId="0" applyAlignment="1" applyBorder="1" applyFont="1">
      <alignment horizontal="center" shrinkToFit="0" vertical="center" wrapText="1"/>
    </xf>
    <xf borderId="29" fillId="0" fontId="17" numFmtId="0" xfId="0" applyAlignment="1" applyBorder="1" applyFont="1">
      <alignment horizontal="center" shrinkToFit="0" vertical="center" wrapText="1"/>
    </xf>
    <xf borderId="20" fillId="4" fontId="17" numFmtId="0" xfId="0" applyAlignment="1" applyBorder="1" applyFont="1">
      <alignment horizontal="center" readingOrder="0" shrinkToFit="0" vertical="center" wrapText="1"/>
    </xf>
    <xf borderId="0" fillId="0" fontId="14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3" pivot="0" name="Matches-style">
      <tableStyleElement dxfId="1" type="headerRow"/>
      <tableStyleElement dxfId="2" type="firstRowStripe"/>
      <tableStyleElement dxfId="3" type="secondRowStripe"/>
    </tableStyle>
    <tableStyle count="3" pivot="0" name="Adjustments-style">
      <tableStyleElement dxfId="1" type="headerRow"/>
      <tableStyleElement dxfId="3" type="firstRowStripe"/>
      <tableStyleElement dxfId="4" type="secondRowStripe"/>
    </tableStyle>
    <tableStyle count="3" pivot="0" name="Leaderboar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T192" displayName="Table_1" name="Table_1" id="1">
  <tableColumns count="20">
    <tableColumn name="MatchID" id="1"/>
    <tableColumn name="Date" id="2"/>
    <tableColumn name="Home" id="3"/>
    <tableColumn name="Away" id="4"/>
    <tableColumn name="Home Goals (input)" id="5"/>
    <tableColumn name="Away Goals (input)" id="6"/>
    <tableColumn name="Status" id="7"/>
    <tableColumn name="Home Goals (effective)" id="8"/>
    <tableColumn name="Away Goals (effective)" id="9"/>
    <tableColumn name="Home Pts" id="10"/>
    <tableColumn name="Away Pts" id="11"/>
    <tableColumn name="Played Flag" id="12"/>
    <tableColumn name="Home W" id="13"/>
    <tableColumn name="Home D" id="14"/>
    <tableColumn name="Home L" id="15"/>
    <tableColumn name="Away W" id="16"/>
    <tableColumn name="Away D" id="17"/>
    <tableColumn name="Away L" id="18"/>
    <tableColumn name="Winner" id="19"/>
    <tableColumn name="Notes" id="20"/>
  </tableColumns>
  <tableStyleInfo name="Matches-style" showColumnStripes="0" showFirstColumn="1" showLastColumn="1" showRowStripes="1"/>
</table>
</file>

<file path=xl/tables/table2.xml><?xml version="1.0" encoding="utf-8"?>
<table xmlns="http://schemas.openxmlformats.org/spreadsheetml/2006/main" ref="A2:E202" displayName="Table_2" name="Table_2" id="2">
  <tableColumns count="5">
    <tableColumn name="Date" id="1"/>
    <tableColumn name="Player" id="2"/>
    <tableColumn name="Metric" id="3"/>
    <tableColumn name="Value" id="4"/>
    <tableColumn name="Reason" id="5"/>
  </tableColumns>
  <tableStyleInfo name="Adjustments-style" showColumnStripes="0" showFirstColumn="1" showLastColumn="1" showRowStripes="1"/>
</table>
</file>

<file path=xl/tables/table3.xml><?xml version="1.0" encoding="utf-8"?>
<table xmlns="http://schemas.openxmlformats.org/spreadsheetml/2006/main" ref="A2:L22" displayName="Table_3" name="Table_3" id="3">
  <tableColumns count="12">
    <tableColumn name="Pos" id="1"/>
    <tableColumn name="Player" id="2"/>
    <tableColumn name="MP" id="3"/>
    <tableColumn name="W" id="4"/>
    <tableColumn name="D" id="5"/>
    <tableColumn name="L" id="6"/>
    <tableColumn name="GF" id="7"/>
    <tableColumn name="GA" id="8"/>
    <tableColumn name="GD" id="9"/>
    <tableColumn name="Pts Matches" id="10"/>
    <tableColumn name="Pts Adj" id="11"/>
    <tableColumn name="Total Pts" id="12"/>
  </tableColumns>
  <tableStyleInfo name="Leader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" width="21.86"/>
    <col customWidth="1" min="3" max="3" width="19.57"/>
    <col customWidth="1" min="4" max="4" width="59.86"/>
    <col customWidth="1" min="5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6" t="s">
        <v>4</v>
      </c>
      <c r="C2" s="7" t="s">
        <v>5</v>
      </c>
      <c r="D2" s="8" t="s">
        <v>6</v>
      </c>
      <c r="E2" s="9"/>
      <c r="F2" s="9"/>
      <c r="G2" s="9"/>
      <c r="H2" s="9"/>
      <c r="I2" s="9"/>
      <c r="J2" s="9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7</v>
      </c>
      <c r="B3" s="12" t="s">
        <v>8</v>
      </c>
      <c r="C3" s="13" t="s">
        <v>9</v>
      </c>
      <c r="D3" s="14" t="s">
        <v>10</v>
      </c>
      <c r="E3" s="9"/>
      <c r="F3" s="9"/>
      <c r="G3" s="9"/>
      <c r="H3" s="9"/>
      <c r="I3" s="9"/>
      <c r="J3" s="9"/>
      <c r="K3" s="9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5" t="s">
        <v>11</v>
      </c>
      <c r="B4" s="12" t="s">
        <v>12</v>
      </c>
      <c r="C4" s="13" t="s">
        <v>13</v>
      </c>
      <c r="D4" s="14" t="s">
        <v>14</v>
      </c>
      <c r="E4" s="9"/>
      <c r="F4" s="9"/>
      <c r="G4" s="9"/>
      <c r="H4" s="9"/>
      <c r="I4" s="9"/>
      <c r="J4" s="9"/>
      <c r="K4" s="9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5" t="s">
        <v>15</v>
      </c>
      <c r="B5" s="12" t="s">
        <v>16</v>
      </c>
      <c r="C5" s="13" t="s">
        <v>17</v>
      </c>
      <c r="D5" s="14" t="s">
        <v>18</v>
      </c>
      <c r="E5" s="9"/>
      <c r="F5" s="9"/>
      <c r="G5" s="9"/>
      <c r="H5" s="9"/>
      <c r="I5" s="9"/>
      <c r="J5" s="9"/>
      <c r="K5" s="9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6"/>
      <c r="B6" s="12" t="s">
        <v>19</v>
      </c>
      <c r="C6" s="13" t="s">
        <v>20</v>
      </c>
      <c r="D6" s="14" t="s">
        <v>21</v>
      </c>
      <c r="E6" s="9"/>
      <c r="F6" s="9"/>
      <c r="G6" s="9"/>
      <c r="H6" s="9"/>
      <c r="I6" s="9"/>
      <c r="J6" s="9"/>
      <c r="K6" s="9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 t="s">
        <v>22</v>
      </c>
      <c r="B7" s="12" t="s">
        <v>23</v>
      </c>
      <c r="C7" s="13" t="s">
        <v>24</v>
      </c>
      <c r="D7" s="14" t="s">
        <v>25</v>
      </c>
      <c r="E7" s="9"/>
      <c r="F7" s="9"/>
      <c r="G7" s="9"/>
      <c r="H7" s="9"/>
      <c r="I7" s="9"/>
      <c r="J7" s="9"/>
      <c r="K7" s="9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5" t="s">
        <v>26</v>
      </c>
      <c r="B8" s="12" t="s">
        <v>27</v>
      </c>
      <c r="C8" s="13" t="s">
        <v>28</v>
      </c>
      <c r="D8" s="14" t="s">
        <v>29</v>
      </c>
      <c r="E8" s="9"/>
      <c r="F8" s="9"/>
      <c r="G8" s="9"/>
      <c r="H8" s="9"/>
      <c r="I8" s="9"/>
      <c r="J8" s="9"/>
      <c r="K8" s="9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7" t="s">
        <v>30</v>
      </c>
      <c r="B9" s="12" t="s">
        <v>31</v>
      </c>
      <c r="C9" s="13" t="s">
        <v>32</v>
      </c>
      <c r="D9" s="14" t="s">
        <v>33</v>
      </c>
      <c r="E9" s="9"/>
      <c r="F9" s="9"/>
      <c r="G9" s="9"/>
      <c r="H9" s="9"/>
      <c r="I9" s="9"/>
      <c r="J9" s="9"/>
      <c r="K9" s="9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8" t="s">
        <v>34</v>
      </c>
      <c r="B10" s="12" t="s">
        <v>35</v>
      </c>
      <c r="C10" s="13" t="s">
        <v>36</v>
      </c>
      <c r="D10" s="14" t="s">
        <v>37</v>
      </c>
      <c r="E10" s="9"/>
      <c r="F10" s="9"/>
      <c r="G10" s="9"/>
      <c r="H10" s="9"/>
      <c r="I10" s="9"/>
      <c r="J10" s="9"/>
      <c r="K10" s="9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8" t="s">
        <v>38</v>
      </c>
      <c r="B11" s="12" t="s">
        <v>39</v>
      </c>
      <c r="C11" s="13" t="s">
        <v>40</v>
      </c>
      <c r="D11" s="14" t="s">
        <v>41</v>
      </c>
      <c r="E11" s="9"/>
      <c r="F11" s="9"/>
      <c r="G11" s="9"/>
      <c r="H11" s="9"/>
      <c r="I11" s="9"/>
      <c r="J11" s="9"/>
      <c r="K11" s="9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8" t="s">
        <v>42</v>
      </c>
      <c r="B12" s="12" t="s">
        <v>43</v>
      </c>
      <c r="C12" s="13" t="s">
        <v>44</v>
      </c>
      <c r="D12" s="14" t="s">
        <v>45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8" t="s">
        <v>46</v>
      </c>
      <c r="B13" s="12" t="s">
        <v>47</v>
      </c>
      <c r="C13" s="13" t="s">
        <v>47</v>
      </c>
      <c r="D13" s="14" t="s">
        <v>48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6"/>
      <c r="B14" s="12" t="s">
        <v>49</v>
      </c>
      <c r="C14" s="13" t="s">
        <v>50</v>
      </c>
      <c r="D14" s="14" t="s">
        <v>51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1" t="s">
        <v>52</v>
      </c>
      <c r="B15" s="12" t="s">
        <v>53</v>
      </c>
      <c r="C15" s="13" t="s">
        <v>54</v>
      </c>
      <c r="D15" s="14" t="s">
        <v>55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5" t="s">
        <v>56</v>
      </c>
      <c r="B16" s="12" t="s">
        <v>57</v>
      </c>
      <c r="C16" s="13" t="s">
        <v>58</v>
      </c>
      <c r="D16" s="14" t="s">
        <v>59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6"/>
      <c r="B17" s="12" t="s">
        <v>60</v>
      </c>
      <c r="C17" s="13" t="s">
        <v>61</v>
      </c>
      <c r="D17" s="14" t="s">
        <v>62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1" t="s">
        <v>63</v>
      </c>
      <c r="B18" s="12" t="s">
        <v>64</v>
      </c>
      <c r="C18" s="13" t="s">
        <v>65</v>
      </c>
      <c r="D18" s="14" t="s">
        <v>66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5" t="s">
        <v>67</v>
      </c>
      <c r="B19" s="12" t="s">
        <v>68</v>
      </c>
      <c r="C19" s="13" t="s">
        <v>68</v>
      </c>
      <c r="D19" s="14" t="s">
        <v>69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5" t="s">
        <v>70</v>
      </c>
      <c r="B20" s="12" t="s">
        <v>71</v>
      </c>
      <c r="C20" s="13" t="s">
        <v>71</v>
      </c>
      <c r="D20" s="14" t="s">
        <v>72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5" t="s">
        <v>73</v>
      </c>
      <c r="B21" s="12" t="s">
        <v>74</v>
      </c>
      <c r="C21" s="13" t="s">
        <v>75</v>
      </c>
      <c r="D21" s="14" t="s">
        <v>76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6"/>
      <c r="B22" s="19"/>
      <c r="C22" s="20"/>
      <c r="D22" s="21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1" t="s">
        <v>77</v>
      </c>
      <c r="B23" s="19"/>
      <c r="C23" s="20"/>
      <c r="D23" s="21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22" t="s">
        <v>78</v>
      </c>
      <c r="B24" s="23"/>
      <c r="C24" s="24"/>
      <c r="D24" s="25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22.0"/>
    <col customWidth="1" min="3" max="26" width="8.71"/>
  </cols>
  <sheetData>
    <row r="1">
      <c r="A1" s="26" t="s">
        <v>79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28" t="s">
        <v>80</v>
      </c>
      <c r="B3" s="29">
        <v>3.0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28" t="s">
        <v>81</v>
      </c>
      <c r="B4" s="29">
        <v>0.0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28" t="s">
        <v>82</v>
      </c>
      <c r="B5" s="29">
        <v>1.0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8" t="s">
        <v>83</v>
      </c>
      <c r="B6" s="30">
        <v>0.0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28" t="s">
        <v>84</v>
      </c>
      <c r="B7" s="29">
        <v>3.0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8" t="s">
        <v>85</v>
      </c>
      <c r="B8" s="29">
        <v>0.0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28" t="s">
        <v>86</v>
      </c>
      <c r="B10" s="30">
        <v>3.0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28" t="s">
        <v>87</v>
      </c>
      <c r="B11" s="30">
        <v>0.0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28" t="s">
        <v>88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28"/>
      <c r="B14" s="28" t="s">
        <v>5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28"/>
      <c r="B15" s="28" t="s">
        <v>89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28"/>
      <c r="B16" s="28" t="s">
        <v>90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28"/>
      <c r="B17" s="28" t="s">
        <v>91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7.14"/>
    <col customWidth="1" min="3" max="26" width="8.71"/>
  </cols>
  <sheetData>
    <row r="1">
      <c r="A1" s="26" t="s">
        <v>92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31" t="s">
        <v>93</v>
      </c>
      <c r="B2" s="31" t="s">
        <v>94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32">
        <v>1.0</v>
      </c>
      <c r="B3" s="33" t="s">
        <v>95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32">
        <v>2.0</v>
      </c>
      <c r="B4" s="33" t="s">
        <v>96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32">
        <v>3.0</v>
      </c>
      <c r="B5" s="33" t="s">
        <v>97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32">
        <v>4.0</v>
      </c>
      <c r="B6" s="33" t="s">
        <v>98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32">
        <v>5.0</v>
      </c>
      <c r="B7" s="33" t="s">
        <v>99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32">
        <v>6.0</v>
      </c>
      <c r="B8" s="33" t="s">
        <v>100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32">
        <v>7.0</v>
      </c>
      <c r="B9" s="33" t="s">
        <v>101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32">
        <v>8.0</v>
      </c>
      <c r="B10" s="33" t="s">
        <v>102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32">
        <v>9.0</v>
      </c>
      <c r="B11" s="33" t="s">
        <v>103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32">
        <v>10.0</v>
      </c>
      <c r="B12" s="33" t="s">
        <v>104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32">
        <v>11.0</v>
      </c>
      <c r="B13" s="33" t="s">
        <v>105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32">
        <v>12.0</v>
      </c>
      <c r="B14" s="33" t="s">
        <v>106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32">
        <v>13.0</v>
      </c>
      <c r="B15" s="33" t="s">
        <v>107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32">
        <v>14.0</v>
      </c>
      <c r="B16" s="33" t="s">
        <v>108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32">
        <v>15.0</v>
      </c>
      <c r="B17" s="33" t="s">
        <v>109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32">
        <v>16.0</v>
      </c>
      <c r="B18" s="33" t="s">
        <v>110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32">
        <v>17.0</v>
      </c>
      <c r="B19" s="33" t="s">
        <v>111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32">
        <v>18.0</v>
      </c>
      <c r="B20" s="33" t="s">
        <v>112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32">
        <v>19.0</v>
      </c>
      <c r="B21" s="33" t="s">
        <v>113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32">
        <v>20.0</v>
      </c>
      <c r="B22" s="33" t="s">
        <v>114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.0"/>
    <col customWidth="1" min="2" max="2" width="12.0"/>
    <col customWidth="1" min="3" max="3" width="27.0"/>
    <col customWidth="1" min="4" max="4" width="26.0"/>
    <col customWidth="1" min="5" max="6" width="15.0"/>
    <col customWidth="1" min="7" max="7" width="16.0"/>
    <col customWidth="1" min="8" max="9" width="18.0"/>
    <col customWidth="1" min="10" max="11" width="10.0"/>
    <col customWidth="1" min="12" max="12" width="6.86"/>
    <col customWidth="1" min="13" max="17" width="7.0"/>
    <col customWidth="1" min="18" max="18" width="6.43"/>
    <col customWidth="1" min="19" max="19" width="18.0"/>
    <col customWidth="1" min="20" max="20" width="26.0"/>
    <col customWidth="1" min="21" max="22" width="12.71"/>
    <col customWidth="1" min="23" max="23" width="10.57"/>
    <col customWidth="1" min="24" max="26" width="8.71"/>
  </cols>
  <sheetData>
    <row r="1">
      <c r="A1" s="26" t="s">
        <v>115</v>
      </c>
      <c r="S1" s="34"/>
      <c r="T1" s="27"/>
      <c r="U1" s="27"/>
      <c r="V1" s="27"/>
      <c r="W1" s="27"/>
      <c r="X1" s="27"/>
      <c r="Y1" s="27"/>
      <c r="Z1" s="27"/>
    </row>
    <row r="2">
      <c r="A2" s="35" t="s">
        <v>116</v>
      </c>
      <c r="B2" s="35" t="s">
        <v>117</v>
      </c>
      <c r="C2" s="35" t="s">
        <v>118</v>
      </c>
      <c r="D2" s="35" t="s">
        <v>119</v>
      </c>
      <c r="E2" s="36" t="s">
        <v>120</v>
      </c>
      <c r="F2" s="36" t="s">
        <v>121</v>
      </c>
      <c r="G2" s="35" t="s">
        <v>122</v>
      </c>
      <c r="H2" s="36" t="s">
        <v>123</v>
      </c>
      <c r="I2" s="36" t="s">
        <v>124</v>
      </c>
      <c r="J2" s="36" t="s">
        <v>125</v>
      </c>
      <c r="K2" s="36" t="s">
        <v>126</v>
      </c>
      <c r="L2" s="36" t="s">
        <v>127</v>
      </c>
      <c r="M2" s="36" t="s">
        <v>128</v>
      </c>
      <c r="N2" s="36" t="s">
        <v>129</v>
      </c>
      <c r="O2" s="36" t="s">
        <v>130</v>
      </c>
      <c r="P2" s="36" t="s">
        <v>131</v>
      </c>
      <c r="Q2" s="36" t="s">
        <v>132</v>
      </c>
      <c r="R2" s="36" t="s">
        <v>133</v>
      </c>
      <c r="S2" s="35" t="s">
        <v>134</v>
      </c>
      <c r="T2" s="35" t="s">
        <v>135</v>
      </c>
      <c r="U2" s="37" t="s">
        <v>136</v>
      </c>
      <c r="V2" s="37" t="s">
        <v>137</v>
      </c>
      <c r="W2" s="37" t="s">
        <v>138</v>
      </c>
      <c r="X2" s="37" t="s">
        <v>139</v>
      </c>
      <c r="Y2" s="28"/>
      <c r="Z2" s="28"/>
    </row>
    <row r="3">
      <c r="A3" s="38">
        <v>1.0</v>
      </c>
      <c r="B3" s="39">
        <v>46039.0</v>
      </c>
      <c r="C3" s="40" t="s">
        <v>96</v>
      </c>
      <c r="D3" s="40" t="s">
        <v>95</v>
      </c>
      <c r="E3" s="40">
        <v>7.0</v>
      </c>
      <c r="F3" s="40">
        <v>7.0</v>
      </c>
      <c r="G3" s="41" t="s">
        <v>5</v>
      </c>
      <c r="H3" s="42">
        <f>IF($G3="Walkover_Home",Settings!$B$10,IF($G3="Walkover_Away",Settings!$B$11,IF($G3="Cancelled","",IF($E3="","",$E3))))</f>
        <v>7</v>
      </c>
      <c r="I3" s="42">
        <f>IF($G3="Walkover_Home",Settings!$B$11,IF($G3="Walkover_Away",Settings!$B$10,IF($G3="Cancelled","",IF($F3="","",$F3))))</f>
        <v>7</v>
      </c>
      <c r="J3" s="42">
        <f>IF($L3=0,"",IF($G3="Walkover_Home",Settings!$B$7,IF($G3="Walkover_Away",Settings!$B$8,IF($H3&gt;$I3,Settings!$B$3,IF($H3&lt;$I3,Settings!$B$4,Settings!$B$5)))))</f>
        <v>1</v>
      </c>
      <c r="K3" s="42">
        <f>IF($L3=0,"",IF($G3="Walkover_Home",Settings!$B$8,IF($G3="Walkover_Away",Settings!$B$7,IF($I3&gt;$H3,Settings!$B$3,IF($I3&lt;$H3,Settings!$B$4,Settings!$B$5)))))</f>
        <v>1</v>
      </c>
      <c r="L3" s="42">
        <f t="shared" ref="L3:L192" si="2">IF($G3="Cancelled",0,IF(OR($H3="", $I3=""),0,1))</f>
        <v>1</v>
      </c>
      <c r="M3" s="42">
        <f t="shared" ref="M3:M192" si="3">IF($L3=0,"",IF($H3&gt;$I3,1,0))</f>
        <v>0</v>
      </c>
      <c r="N3" s="42">
        <f t="shared" ref="N3:N192" si="4">IF($L3=0,"",IF($H3=$I3,1,0))</f>
        <v>1</v>
      </c>
      <c r="O3" s="42">
        <f t="shared" ref="O3:O192" si="5">IF($L3=0,"",IF($H3&lt;$I3,1,0))</f>
        <v>0</v>
      </c>
      <c r="P3" s="42">
        <f t="shared" ref="P3:P192" si="6">IF($L3=0,"",IF($I3&gt;$H3,1,0))</f>
        <v>0</v>
      </c>
      <c r="Q3" s="42">
        <f t="shared" ref="Q3:Q192" si="7">IF($L3=0,"",IF($I3=$H3,1,0))</f>
        <v>1</v>
      </c>
      <c r="R3" s="42">
        <f t="shared" ref="R3:R192" si="8">IF($L3=0,"",IF($I3&lt;$H3,1,0))</f>
        <v>0</v>
      </c>
      <c r="S3" s="43" t="str">
        <f t="shared" ref="S3:S192" si="9">IF($L3=0,"",IF($H3&gt;$I3,$C3,IF($H3&lt;$I3,$D3,"Draw")))</f>
        <v>Draw</v>
      </c>
      <c r="T3" s="41"/>
      <c r="U3" s="28">
        <f t="shared" ref="U3:U192" si="10">IF($L3=0,"",$H3-$I3)</f>
        <v>0</v>
      </c>
      <c r="V3" s="28">
        <f t="shared" ref="V3:W3" si="1">IF($L3=0,"",$I3-$H3)</f>
        <v>0</v>
      </c>
      <c r="W3" s="28">
        <f t="shared" si="1"/>
        <v>0</v>
      </c>
      <c r="X3" s="28">
        <f t="shared" ref="X3:X192" si="12">IF($L3=0,"",$H3-$I3)</f>
        <v>0</v>
      </c>
      <c r="Y3" s="28"/>
      <c r="Z3" s="28"/>
    </row>
    <row r="4">
      <c r="A4" s="38">
        <v>2.0</v>
      </c>
      <c r="B4" s="39">
        <v>46039.0</v>
      </c>
      <c r="C4" s="40" t="s">
        <v>105</v>
      </c>
      <c r="D4" s="40" t="s">
        <v>106</v>
      </c>
      <c r="E4" s="40">
        <v>8.0</v>
      </c>
      <c r="F4" s="40">
        <v>2.0</v>
      </c>
      <c r="G4" s="41" t="s">
        <v>5</v>
      </c>
      <c r="H4" s="42">
        <f>IF($G4="Walkover_Home",Settings!$B$10,IF($G4="Walkover_Away",Settings!$B$11,IF($G4="Cancelled","",IF($E4="","",$E4))))</f>
        <v>8</v>
      </c>
      <c r="I4" s="42">
        <f>IF($G4="Walkover_Home",Settings!$B$11,IF($G4="Walkover_Away",Settings!$B$10,IF($G4="Cancelled","",IF($F4="","",$F4))))</f>
        <v>2</v>
      </c>
      <c r="J4" s="42">
        <f>IF($L4=0,"",IF($G4="Walkover_Home",Settings!$B$7,IF($G4="Walkover_Away",Settings!$B$8,IF($H4&gt;$I4,Settings!$B$3,IF($H4&lt;$I4,Settings!$B$4,Settings!$B$5)))))</f>
        <v>3</v>
      </c>
      <c r="K4" s="42">
        <f>IF($L4=0,"",IF($G4="Walkover_Home",Settings!$B$8,IF($G4="Walkover_Away",Settings!$B$7,IF($I4&gt;$H4,Settings!$B$3,IF($I4&lt;$H4,Settings!$B$4,Settings!$B$5)))))</f>
        <v>0</v>
      </c>
      <c r="L4" s="42">
        <f t="shared" si="2"/>
        <v>1</v>
      </c>
      <c r="M4" s="42">
        <f t="shared" si="3"/>
        <v>1</v>
      </c>
      <c r="N4" s="42">
        <f t="shared" si="4"/>
        <v>0</v>
      </c>
      <c r="O4" s="42">
        <f t="shared" si="5"/>
        <v>0</v>
      </c>
      <c r="P4" s="42">
        <f t="shared" si="6"/>
        <v>0</v>
      </c>
      <c r="Q4" s="42">
        <f t="shared" si="7"/>
        <v>0</v>
      </c>
      <c r="R4" s="42">
        <f t="shared" si="8"/>
        <v>1</v>
      </c>
      <c r="S4" s="43" t="str">
        <f t="shared" si="9"/>
        <v>RHYMEZ</v>
      </c>
      <c r="T4" s="41"/>
      <c r="U4" s="28">
        <f t="shared" si="10"/>
        <v>6</v>
      </c>
      <c r="V4" s="28">
        <f t="shared" ref="V4:W4" si="11">IF($L4=0,"",$I4-$H4)</f>
        <v>-6</v>
      </c>
      <c r="W4" s="28">
        <f t="shared" si="11"/>
        <v>-6</v>
      </c>
      <c r="X4" s="28">
        <f t="shared" si="12"/>
        <v>6</v>
      </c>
      <c r="Y4" s="28"/>
      <c r="Z4" s="28"/>
    </row>
    <row r="5">
      <c r="A5" s="38">
        <v>3.0</v>
      </c>
      <c r="B5" s="39">
        <v>46039.0</v>
      </c>
      <c r="C5" s="40" t="s">
        <v>98</v>
      </c>
      <c r="D5" s="40" t="s">
        <v>97</v>
      </c>
      <c r="E5" s="40">
        <v>3.0</v>
      </c>
      <c r="F5" s="40">
        <v>5.0</v>
      </c>
      <c r="G5" s="41" t="s">
        <v>5</v>
      </c>
      <c r="H5" s="42">
        <f>IF($G5="Walkover_Home",Settings!$B$10,IF($G5="Walkover_Away",Settings!$B$11,IF($G5="Cancelled","",IF($E5="","",$E5))))</f>
        <v>3</v>
      </c>
      <c r="I5" s="42">
        <f>IF($G5="Walkover_Home",Settings!$B$11,IF($G5="Walkover_Away",Settings!$B$10,IF($G5="Cancelled","",IF($F5="","",$F5))))</f>
        <v>5</v>
      </c>
      <c r="J5" s="42">
        <f>IF($L5=0,"",IF($G5="Walkover_Home",Settings!$B$7,IF($G5="Walkover_Away",Settings!$B$8,IF($H5&gt;$I5,Settings!$B$3,IF($H5&lt;$I5,Settings!$B$4,Settings!$B$5)))))</f>
        <v>0</v>
      </c>
      <c r="K5" s="42">
        <f>IF($L5=0,"",IF($G5="Walkover_Home",Settings!$B$8,IF($G5="Walkover_Away",Settings!$B$7,IF($I5&gt;$H5,Settings!$B$3,IF($I5&lt;$H5,Settings!$B$4,Settings!$B$5)))))</f>
        <v>3</v>
      </c>
      <c r="L5" s="42">
        <f t="shared" si="2"/>
        <v>1</v>
      </c>
      <c r="M5" s="42">
        <f t="shared" si="3"/>
        <v>0</v>
      </c>
      <c r="N5" s="42">
        <f t="shared" si="4"/>
        <v>0</v>
      </c>
      <c r="O5" s="42">
        <f t="shared" si="5"/>
        <v>1</v>
      </c>
      <c r="P5" s="42">
        <f t="shared" si="6"/>
        <v>1</v>
      </c>
      <c r="Q5" s="42">
        <f t="shared" si="7"/>
        <v>0</v>
      </c>
      <c r="R5" s="42">
        <f t="shared" si="8"/>
        <v>0</v>
      </c>
      <c r="S5" s="43" t="str">
        <f t="shared" si="9"/>
        <v>BAJI SNR</v>
      </c>
      <c r="T5" s="41"/>
      <c r="U5" s="28">
        <f t="shared" si="10"/>
        <v>-2</v>
      </c>
      <c r="V5" s="28">
        <f t="shared" ref="V5:W5" si="13">IF($L5=0,"",$I5-$H5)</f>
        <v>2</v>
      </c>
      <c r="W5" s="28">
        <f t="shared" si="13"/>
        <v>2</v>
      </c>
      <c r="X5" s="28">
        <f t="shared" si="12"/>
        <v>-2</v>
      </c>
      <c r="Y5" s="28"/>
      <c r="Z5" s="28"/>
    </row>
    <row r="6">
      <c r="A6" s="38">
        <v>4.0</v>
      </c>
      <c r="B6" s="39">
        <v>46039.0</v>
      </c>
      <c r="C6" s="40" t="s">
        <v>108</v>
      </c>
      <c r="D6" s="40" t="s">
        <v>107</v>
      </c>
      <c r="E6" s="40">
        <v>2.0</v>
      </c>
      <c r="F6" s="40">
        <v>10.0</v>
      </c>
      <c r="G6" s="41" t="s">
        <v>5</v>
      </c>
      <c r="H6" s="42">
        <f>IF($G6="Walkover_Home",Settings!$B$10,IF($G6="Walkover_Away",Settings!$B$11,IF($G6="Cancelled","",IF($E6="","",$E6))))</f>
        <v>2</v>
      </c>
      <c r="I6" s="42">
        <f>IF($G6="Walkover_Home",Settings!$B$11,IF($G6="Walkover_Away",Settings!$B$10,IF($G6="Cancelled","",IF($F6="","",$F6))))</f>
        <v>10</v>
      </c>
      <c r="J6" s="42">
        <f>IF($L6=0,"",IF($G6="Walkover_Home",Settings!$B$7,IF($G6="Walkover_Away",Settings!$B$8,IF($H6&gt;$I6,Settings!$B$3,IF($H6&lt;$I6,Settings!$B$4,Settings!$B$5)))))</f>
        <v>0</v>
      </c>
      <c r="K6" s="42">
        <f>IF($L6=0,"",IF($G6="Walkover_Home",Settings!$B$8,IF($G6="Walkover_Away",Settings!$B$7,IF($I6&gt;$H6,Settings!$B$3,IF($I6&lt;$H6,Settings!$B$4,Settings!$B$5)))))</f>
        <v>3</v>
      </c>
      <c r="L6" s="42">
        <f t="shared" si="2"/>
        <v>1</v>
      </c>
      <c r="M6" s="42">
        <f t="shared" si="3"/>
        <v>0</v>
      </c>
      <c r="N6" s="42">
        <f t="shared" si="4"/>
        <v>0</v>
      </c>
      <c r="O6" s="42">
        <f t="shared" si="5"/>
        <v>1</v>
      </c>
      <c r="P6" s="42">
        <f t="shared" si="6"/>
        <v>1</v>
      </c>
      <c r="Q6" s="42">
        <f t="shared" si="7"/>
        <v>0</v>
      </c>
      <c r="R6" s="42">
        <f t="shared" si="8"/>
        <v>0</v>
      </c>
      <c r="S6" s="43" t="str">
        <f t="shared" si="9"/>
        <v>BLAISE99</v>
      </c>
      <c r="T6" s="41"/>
      <c r="U6" s="28">
        <f t="shared" si="10"/>
        <v>-8</v>
      </c>
      <c r="V6" s="28">
        <f t="shared" ref="V6:W6" si="14">IF($L6=0,"",$I6-$H6)</f>
        <v>8</v>
      </c>
      <c r="W6" s="28">
        <f t="shared" si="14"/>
        <v>8</v>
      </c>
      <c r="X6" s="28">
        <f t="shared" si="12"/>
        <v>-8</v>
      </c>
      <c r="Y6" s="28"/>
      <c r="Z6" s="28"/>
    </row>
    <row r="7">
      <c r="A7" s="38">
        <v>5.0</v>
      </c>
      <c r="B7" s="39">
        <v>46039.0</v>
      </c>
      <c r="C7" s="40" t="s">
        <v>100</v>
      </c>
      <c r="D7" s="40" t="s">
        <v>99</v>
      </c>
      <c r="E7" s="40">
        <v>3.0</v>
      </c>
      <c r="F7" s="40">
        <v>7.0</v>
      </c>
      <c r="G7" s="41" t="s">
        <v>5</v>
      </c>
      <c r="H7" s="42">
        <f>IF($G7="Walkover_Home",Settings!$B$10,IF($G7="Walkover_Away",Settings!$B$11,IF($G7="Cancelled","",IF($E7="","",$E7))))</f>
        <v>3</v>
      </c>
      <c r="I7" s="42">
        <f>IF($G7="Walkover_Home",Settings!$B$11,IF($G7="Walkover_Away",Settings!$B$10,IF($G7="Cancelled","",IF($F7="","",$F7))))</f>
        <v>7</v>
      </c>
      <c r="J7" s="42">
        <f>IF($L7=0,"",IF($G7="Walkover_Home",Settings!$B$7,IF($G7="Walkover_Away",Settings!$B$8,IF($H7&gt;$I7,Settings!$B$3,IF($H7&lt;$I7,Settings!$B$4,Settings!$B$5)))))</f>
        <v>0</v>
      </c>
      <c r="K7" s="42">
        <f>IF($L7=0,"",IF($G7="Walkover_Home",Settings!$B$8,IF($G7="Walkover_Away",Settings!$B$7,IF($I7&gt;$H7,Settings!$B$3,IF($I7&lt;$H7,Settings!$B$4,Settings!$B$5)))))</f>
        <v>3</v>
      </c>
      <c r="L7" s="42">
        <f t="shared" si="2"/>
        <v>1</v>
      </c>
      <c r="M7" s="42">
        <f t="shared" si="3"/>
        <v>0</v>
      </c>
      <c r="N7" s="42">
        <f t="shared" si="4"/>
        <v>0</v>
      </c>
      <c r="O7" s="42">
        <f t="shared" si="5"/>
        <v>1</v>
      </c>
      <c r="P7" s="42">
        <f t="shared" si="6"/>
        <v>1</v>
      </c>
      <c r="Q7" s="42">
        <f t="shared" si="7"/>
        <v>0</v>
      </c>
      <c r="R7" s="42">
        <f t="shared" si="8"/>
        <v>0</v>
      </c>
      <c r="S7" s="43" t="str">
        <f t="shared" si="9"/>
        <v>KAYKAY</v>
      </c>
      <c r="T7" s="41"/>
      <c r="U7" s="28">
        <f t="shared" si="10"/>
        <v>-4</v>
      </c>
      <c r="V7" s="28">
        <f t="shared" ref="V7:W7" si="15">IF($L7=0,"",$I7-$H7)</f>
        <v>4</v>
      </c>
      <c r="W7" s="28">
        <f t="shared" si="15"/>
        <v>4</v>
      </c>
      <c r="X7" s="28">
        <f t="shared" si="12"/>
        <v>-4</v>
      </c>
      <c r="Y7" s="28"/>
      <c r="Z7" s="28"/>
    </row>
    <row r="8">
      <c r="A8" s="38">
        <v>6.0</v>
      </c>
      <c r="B8" s="39">
        <v>46039.0</v>
      </c>
      <c r="C8" s="40" t="s">
        <v>110</v>
      </c>
      <c r="D8" s="40" t="s">
        <v>109</v>
      </c>
      <c r="E8" s="40">
        <v>7.0</v>
      </c>
      <c r="F8" s="40">
        <v>0.0</v>
      </c>
      <c r="G8" s="41" t="s">
        <v>5</v>
      </c>
      <c r="H8" s="42">
        <f>IF($G8="Walkover_Home",Settings!$B$10,IF($G8="Walkover_Away",Settings!$B$11,IF($G8="Cancelled","",IF($E8="","",$E8))))</f>
        <v>7</v>
      </c>
      <c r="I8" s="42">
        <f>IF($G8="Walkover_Home",Settings!$B$11,IF($G8="Walkover_Away",Settings!$B$10,IF($G8="Cancelled","",IF($F8="","",$F8))))</f>
        <v>0</v>
      </c>
      <c r="J8" s="42">
        <f>IF($L8=0,"",IF($G8="Walkover_Home",Settings!$B$7,IF($G8="Walkover_Away",Settings!$B$8,IF($H8&gt;$I8,Settings!$B$3,IF($H8&lt;$I8,Settings!$B$4,Settings!$B$5)))))</f>
        <v>3</v>
      </c>
      <c r="K8" s="42">
        <f>IF($L8=0,"",IF($G8="Walkover_Home",Settings!$B$8,IF($G8="Walkover_Away",Settings!$B$7,IF($I8&gt;$H8,Settings!$B$3,IF($I8&lt;$H8,Settings!$B$4,Settings!$B$5)))))</f>
        <v>0</v>
      </c>
      <c r="L8" s="42">
        <f t="shared" si="2"/>
        <v>1</v>
      </c>
      <c r="M8" s="42">
        <f t="shared" si="3"/>
        <v>1</v>
      </c>
      <c r="N8" s="42">
        <f t="shared" si="4"/>
        <v>0</v>
      </c>
      <c r="O8" s="42">
        <f t="shared" si="5"/>
        <v>0</v>
      </c>
      <c r="P8" s="42">
        <f t="shared" si="6"/>
        <v>0</v>
      </c>
      <c r="Q8" s="42">
        <f t="shared" si="7"/>
        <v>0</v>
      </c>
      <c r="R8" s="42">
        <f t="shared" si="8"/>
        <v>1</v>
      </c>
      <c r="S8" s="43" t="str">
        <f t="shared" si="9"/>
        <v>SON OF GOD</v>
      </c>
      <c r="T8" s="41"/>
      <c r="U8" s="28">
        <f t="shared" si="10"/>
        <v>7</v>
      </c>
      <c r="V8" s="28">
        <f t="shared" ref="V8:W8" si="16">IF($L8=0,"",$I8-$H8)</f>
        <v>-7</v>
      </c>
      <c r="W8" s="28">
        <f t="shared" si="16"/>
        <v>-7</v>
      </c>
      <c r="X8" s="28">
        <f t="shared" si="12"/>
        <v>7</v>
      </c>
      <c r="Y8" s="28"/>
      <c r="Z8" s="28"/>
    </row>
    <row r="9">
      <c r="A9" s="38">
        <v>7.0</v>
      </c>
      <c r="B9" s="39">
        <v>46039.0</v>
      </c>
      <c r="C9" s="40" t="s">
        <v>102</v>
      </c>
      <c r="D9" s="40" t="s">
        <v>101</v>
      </c>
      <c r="E9" s="40"/>
      <c r="F9" s="40"/>
      <c r="G9" s="40" t="s">
        <v>90</v>
      </c>
      <c r="H9" s="42">
        <f>IF($G9="Walkover_Home",Settings!$B$10,IF($G9="Walkover_Away",Settings!$B$11,IF($G9="Cancelled","",IF($E9="","",$E9))))</f>
        <v>0</v>
      </c>
      <c r="I9" s="42">
        <f>IF($G9="Walkover_Home",Settings!$B$11,IF($G9="Walkover_Away",Settings!$B$10,IF($G9="Cancelled","",IF($F9="","",$F9))))</f>
        <v>3</v>
      </c>
      <c r="J9" s="42">
        <f>IF($L9=0,"",IF($G9="Walkover_Home",Settings!$B$7,IF($G9="Walkover_Away",Settings!$B$8,IF($H9&gt;$I9,Settings!$B$3,IF($H9&lt;$I9,Settings!$B$4,Settings!$B$5)))))</f>
        <v>0</v>
      </c>
      <c r="K9" s="42">
        <f>IF($L9=0,"",IF($G9="Walkover_Home",Settings!$B$8,IF($G9="Walkover_Away",Settings!$B$7,IF($I9&gt;$H9,Settings!$B$3,IF($I9&lt;$H9,Settings!$B$4,Settings!$B$5)))))</f>
        <v>3</v>
      </c>
      <c r="L9" s="42">
        <f t="shared" si="2"/>
        <v>1</v>
      </c>
      <c r="M9" s="42">
        <f t="shared" si="3"/>
        <v>0</v>
      </c>
      <c r="N9" s="42">
        <f t="shared" si="4"/>
        <v>0</v>
      </c>
      <c r="O9" s="42">
        <f t="shared" si="5"/>
        <v>1</v>
      </c>
      <c r="P9" s="42">
        <f t="shared" si="6"/>
        <v>1</v>
      </c>
      <c r="Q9" s="42">
        <f t="shared" si="7"/>
        <v>0</v>
      </c>
      <c r="R9" s="42">
        <f t="shared" si="8"/>
        <v>0</v>
      </c>
      <c r="S9" s="43" t="str">
        <f t="shared" si="9"/>
        <v>WOLEVATION</v>
      </c>
      <c r="T9" s="41"/>
      <c r="U9" s="28">
        <f t="shared" si="10"/>
        <v>-3</v>
      </c>
      <c r="V9" s="28">
        <f t="shared" ref="V9:W9" si="17">IF($L9=0,"",$I9-$H9)</f>
        <v>3</v>
      </c>
      <c r="W9" s="28">
        <f t="shared" si="17"/>
        <v>3</v>
      </c>
      <c r="X9" s="28">
        <f t="shared" si="12"/>
        <v>-3</v>
      </c>
      <c r="Y9" s="28"/>
      <c r="Z9" s="28"/>
    </row>
    <row r="10">
      <c r="A10" s="38">
        <v>8.0</v>
      </c>
      <c r="B10" s="39">
        <v>46039.0</v>
      </c>
      <c r="C10" s="40" t="s">
        <v>112</v>
      </c>
      <c r="D10" s="40" t="s">
        <v>111</v>
      </c>
      <c r="E10" s="40">
        <v>5.0</v>
      </c>
      <c r="F10" s="40">
        <v>5.0</v>
      </c>
      <c r="G10" s="41" t="s">
        <v>5</v>
      </c>
      <c r="H10" s="42">
        <f>IF($G10="Walkover_Home",Settings!$B$10,IF($G10="Walkover_Away",Settings!$B$11,IF($G10="Cancelled","",IF($E10="","",$E10))))</f>
        <v>5</v>
      </c>
      <c r="I10" s="42">
        <f>IF($G10="Walkover_Home",Settings!$B$11,IF($G10="Walkover_Away",Settings!$B$10,IF($G10="Cancelled","",IF($F10="","",$F10))))</f>
        <v>5</v>
      </c>
      <c r="J10" s="42">
        <f>IF($L10=0,"",IF($G10="Walkover_Home",Settings!$B$7,IF($G10="Walkover_Away",Settings!$B$8,IF($H10&gt;$I10,Settings!$B$3,IF($H10&lt;$I10,Settings!$B$4,Settings!$B$5)))))</f>
        <v>1</v>
      </c>
      <c r="K10" s="42">
        <f>IF($L10=0,"",IF($G10="Walkover_Home",Settings!$B$8,IF($G10="Walkover_Away",Settings!$B$7,IF($I10&gt;$H10,Settings!$B$3,IF($I10&lt;$H10,Settings!$B$4,Settings!$B$5)))))</f>
        <v>1</v>
      </c>
      <c r="L10" s="42">
        <f t="shared" si="2"/>
        <v>1</v>
      </c>
      <c r="M10" s="42">
        <f t="shared" si="3"/>
        <v>0</v>
      </c>
      <c r="N10" s="42">
        <f t="shared" si="4"/>
        <v>1</v>
      </c>
      <c r="O10" s="42">
        <f t="shared" si="5"/>
        <v>0</v>
      </c>
      <c r="P10" s="42">
        <f t="shared" si="6"/>
        <v>0</v>
      </c>
      <c r="Q10" s="42">
        <f t="shared" si="7"/>
        <v>1</v>
      </c>
      <c r="R10" s="42">
        <f t="shared" si="8"/>
        <v>0</v>
      </c>
      <c r="S10" s="43" t="str">
        <f t="shared" si="9"/>
        <v>Draw</v>
      </c>
      <c r="T10" s="41"/>
      <c r="U10" s="28">
        <f t="shared" si="10"/>
        <v>0</v>
      </c>
      <c r="V10" s="28">
        <f t="shared" ref="V10:W10" si="18">IF($L10=0,"",$I10-$H10)</f>
        <v>0</v>
      </c>
      <c r="W10" s="28">
        <f t="shared" si="18"/>
        <v>0</v>
      </c>
      <c r="X10" s="28">
        <f t="shared" si="12"/>
        <v>0</v>
      </c>
      <c r="Y10" s="28"/>
      <c r="Z10" s="28"/>
    </row>
    <row r="11">
      <c r="A11" s="38">
        <v>9.0</v>
      </c>
      <c r="B11" s="39">
        <v>46039.0</v>
      </c>
      <c r="C11" s="40" t="s">
        <v>114</v>
      </c>
      <c r="D11" s="40" t="s">
        <v>113</v>
      </c>
      <c r="E11" s="40">
        <v>5.0</v>
      </c>
      <c r="F11" s="40">
        <v>1.0</v>
      </c>
      <c r="G11" s="41" t="s">
        <v>5</v>
      </c>
      <c r="H11" s="42">
        <f>IF($G11="Walkover_Home",Settings!$B$10,IF($G11="Walkover_Away",Settings!$B$11,IF($G11="Cancelled","",IF($E11="","",$E11))))</f>
        <v>5</v>
      </c>
      <c r="I11" s="42">
        <f>IF($G11="Walkover_Home",Settings!$B$11,IF($G11="Walkover_Away",Settings!$B$10,IF($G11="Cancelled","",IF($F11="","",$F11))))</f>
        <v>1</v>
      </c>
      <c r="J11" s="42">
        <f>IF($L11=0,"",IF($G11="Walkover_Home",Settings!$B$7,IF($G11="Walkover_Away",Settings!$B$8,IF($H11&gt;$I11,Settings!$B$3,IF($H11&lt;$I11,Settings!$B$4,Settings!$B$5)))))</f>
        <v>3</v>
      </c>
      <c r="K11" s="42">
        <f>IF($L11=0,"",IF($G11="Walkover_Home",Settings!$B$8,IF($G11="Walkover_Away",Settings!$B$7,IF($I11&gt;$H11,Settings!$B$3,IF($I11&lt;$H11,Settings!$B$4,Settings!$B$5)))))</f>
        <v>0</v>
      </c>
      <c r="L11" s="42">
        <f t="shared" si="2"/>
        <v>1</v>
      </c>
      <c r="M11" s="42">
        <f t="shared" si="3"/>
        <v>1</v>
      </c>
      <c r="N11" s="42">
        <f t="shared" si="4"/>
        <v>0</v>
      </c>
      <c r="O11" s="42">
        <f t="shared" si="5"/>
        <v>0</v>
      </c>
      <c r="P11" s="42">
        <f t="shared" si="6"/>
        <v>0</v>
      </c>
      <c r="Q11" s="42">
        <f t="shared" si="7"/>
        <v>0</v>
      </c>
      <c r="R11" s="42">
        <f t="shared" si="8"/>
        <v>1</v>
      </c>
      <c r="S11" s="43" t="str">
        <f t="shared" si="9"/>
        <v>KINGNONEX</v>
      </c>
      <c r="T11" s="41"/>
      <c r="U11" s="28">
        <f t="shared" si="10"/>
        <v>4</v>
      </c>
      <c r="V11" s="28">
        <f t="shared" ref="V11:W11" si="19">IF($L11=0,"",$I11-$H11)</f>
        <v>-4</v>
      </c>
      <c r="W11" s="28">
        <f t="shared" si="19"/>
        <v>-4</v>
      </c>
      <c r="X11" s="28">
        <f t="shared" si="12"/>
        <v>4</v>
      </c>
      <c r="Y11" s="28"/>
      <c r="Z11" s="28"/>
    </row>
    <row r="12">
      <c r="A12" s="38">
        <v>10.0</v>
      </c>
      <c r="B12" s="39">
        <v>46039.0</v>
      </c>
      <c r="C12" s="40" t="s">
        <v>103</v>
      </c>
      <c r="D12" s="40" t="s">
        <v>104</v>
      </c>
      <c r="E12" s="40">
        <v>3.0</v>
      </c>
      <c r="F12" s="40">
        <v>5.0</v>
      </c>
      <c r="G12" s="41" t="s">
        <v>5</v>
      </c>
      <c r="H12" s="42">
        <f>IF($G12="Walkover_Home",Settings!$B$10,IF($G12="Walkover_Away",Settings!$B$11,IF($G12="Cancelled","",IF($E12="","",$E12))))</f>
        <v>3</v>
      </c>
      <c r="I12" s="42">
        <f>IF($G12="Walkover_Home",Settings!$B$11,IF($G12="Walkover_Away",Settings!$B$10,IF($G12="Cancelled","",IF($F12="","",$F12))))</f>
        <v>5</v>
      </c>
      <c r="J12" s="42">
        <f>IF($L12=0,"",IF($G12="Walkover_Home",Settings!$B$7,IF($G12="Walkover_Away",Settings!$B$8,IF($H12&gt;$I12,Settings!$B$3,IF($H12&lt;$I12,Settings!$B$4,Settings!$B$5)))))</f>
        <v>0</v>
      </c>
      <c r="K12" s="42">
        <f>IF($L12=0,"",IF($G12="Walkover_Home",Settings!$B$8,IF($G12="Walkover_Away",Settings!$B$7,IF($I12&gt;$H12,Settings!$B$3,IF($I12&lt;$H12,Settings!$B$4,Settings!$B$5)))))</f>
        <v>3</v>
      </c>
      <c r="L12" s="42">
        <f t="shared" si="2"/>
        <v>1</v>
      </c>
      <c r="M12" s="42">
        <f t="shared" si="3"/>
        <v>0</v>
      </c>
      <c r="N12" s="42">
        <f t="shared" si="4"/>
        <v>0</v>
      </c>
      <c r="O12" s="42">
        <f t="shared" si="5"/>
        <v>1</v>
      </c>
      <c r="P12" s="42">
        <f t="shared" si="6"/>
        <v>1</v>
      </c>
      <c r="Q12" s="42">
        <f t="shared" si="7"/>
        <v>0</v>
      </c>
      <c r="R12" s="42">
        <f t="shared" si="8"/>
        <v>0</v>
      </c>
      <c r="S12" s="43" t="str">
        <f t="shared" si="9"/>
        <v>YEMOLEE</v>
      </c>
      <c r="T12" s="41"/>
      <c r="U12" s="28">
        <f t="shared" si="10"/>
        <v>-2</v>
      </c>
      <c r="V12" s="28">
        <f t="shared" ref="V12:W12" si="20">IF($L12=0,"",$I12-$H12)</f>
        <v>2</v>
      </c>
      <c r="W12" s="28">
        <f t="shared" si="20"/>
        <v>2</v>
      </c>
      <c r="X12" s="28">
        <f t="shared" si="12"/>
        <v>-2</v>
      </c>
      <c r="Y12" s="28"/>
      <c r="Z12" s="28"/>
    </row>
    <row r="13">
      <c r="A13" s="38">
        <v>11.0</v>
      </c>
      <c r="B13" s="39">
        <v>46040.0</v>
      </c>
      <c r="C13" s="40" t="s">
        <v>113</v>
      </c>
      <c r="D13" s="40" t="s">
        <v>104</v>
      </c>
      <c r="E13" s="40">
        <v>2.0</v>
      </c>
      <c r="F13" s="40">
        <v>2.0</v>
      </c>
      <c r="G13" s="41" t="s">
        <v>5</v>
      </c>
      <c r="H13" s="42">
        <f>IF($G13="Walkover_Home",Settings!$B$10,IF($G13="Walkover_Away",Settings!$B$11,IF($G13="Cancelled","",IF($E13="","",$E13))))</f>
        <v>2</v>
      </c>
      <c r="I13" s="42">
        <f>IF($G13="Walkover_Home",Settings!$B$11,IF($G13="Walkover_Away",Settings!$B$10,IF($G13="Cancelled","",IF($F13="","",$F13))))</f>
        <v>2</v>
      </c>
      <c r="J13" s="42">
        <f>IF($L13=0,"",IF($G13="Walkover_Home",Settings!$B$7,IF($G13="Walkover_Away",Settings!$B$8,IF($H13&gt;$I13,Settings!$B$3,IF($H13&lt;$I13,Settings!$B$4,Settings!$B$5)))))</f>
        <v>1</v>
      </c>
      <c r="K13" s="42">
        <f>IF($L13=0,"",IF($G13="Walkover_Home",Settings!$B$8,IF($G13="Walkover_Away",Settings!$B$7,IF($I13&gt;$H13,Settings!$B$3,IF($I13&lt;$H13,Settings!$B$4,Settings!$B$5)))))</f>
        <v>1</v>
      </c>
      <c r="L13" s="42">
        <f t="shared" si="2"/>
        <v>1</v>
      </c>
      <c r="M13" s="42">
        <f t="shared" si="3"/>
        <v>0</v>
      </c>
      <c r="N13" s="42">
        <f t="shared" si="4"/>
        <v>1</v>
      </c>
      <c r="O13" s="42">
        <f t="shared" si="5"/>
        <v>0</v>
      </c>
      <c r="P13" s="42">
        <f t="shared" si="6"/>
        <v>0</v>
      </c>
      <c r="Q13" s="42">
        <f t="shared" si="7"/>
        <v>1</v>
      </c>
      <c r="R13" s="42">
        <f t="shared" si="8"/>
        <v>0</v>
      </c>
      <c r="S13" s="43" t="str">
        <f t="shared" si="9"/>
        <v>Draw</v>
      </c>
      <c r="T13" s="41"/>
      <c r="U13" s="28">
        <f t="shared" si="10"/>
        <v>0</v>
      </c>
      <c r="V13" s="28">
        <f t="shared" ref="V13:W13" si="21">IF($L13=0,"",$I13-$H13)</f>
        <v>0</v>
      </c>
      <c r="W13" s="28">
        <f t="shared" si="21"/>
        <v>0</v>
      </c>
      <c r="X13" s="28">
        <f t="shared" si="12"/>
        <v>0</v>
      </c>
      <c r="Y13" s="28"/>
      <c r="Z13" s="28"/>
    </row>
    <row r="14">
      <c r="A14" s="38">
        <v>12.0</v>
      </c>
      <c r="B14" s="39">
        <v>46040.0</v>
      </c>
      <c r="C14" s="40" t="s">
        <v>105</v>
      </c>
      <c r="D14" s="40" t="s">
        <v>100</v>
      </c>
      <c r="E14" s="40">
        <v>4.0</v>
      </c>
      <c r="F14" s="40">
        <v>3.0</v>
      </c>
      <c r="G14" s="41" t="s">
        <v>5</v>
      </c>
      <c r="H14" s="42">
        <f>IF($G14="Walkover_Home",Settings!$B$10,IF($G14="Walkover_Away",Settings!$B$11,IF($G14="Cancelled","",IF($E14="","",$E14))))</f>
        <v>4</v>
      </c>
      <c r="I14" s="42">
        <f>IF($G14="Walkover_Home",Settings!$B$11,IF($G14="Walkover_Away",Settings!$B$10,IF($G14="Cancelled","",IF($F14="","",$F14))))</f>
        <v>3</v>
      </c>
      <c r="J14" s="42">
        <f>IF($L14=0,"",IF($G14="Walkover_Home",Settings!$B$7,IF($G14="Walkover_Away",Settings!$B$8,IF($H14&gt;$I14,Settings!$B$3,IF($H14&lt;$I14,Settings!$B$4,Settings!$B$5)))))</f>
        <v>3</v>
      </c>
      <c r="K14" s="42">
        <f>IF($L14=0,"",IF($G14="Walkover_Home",Settings!$B$8,IF($G14="Walkover_Away",Settings!$B$7,IF($I14&gt;$H14,Settings!$B$3,IF($I14&lt;$H14,Settings!$B$4,Settings!$B$5)))))</f>
        <v>0</v>
      </c>
      <c r="L14" s="42">
        <f t="shared" si="2"/>
        <v>1</v>
      </c>
      <c r="M14" s="42">
        <f t="shared" si="3"/>
        <v>1</v>
      </c>
      <c r="N14" s="42">
        <f t="shared" si="4"/>
        <v>0</v>
      </c>
      <c r="O14" s="42">
        <f t="shared" si="5"/>
        <v>0</v>
      </c>
      <c r="P14" s="42">
        <f t="shared" si="6"/>
        <v>0</v>
      </c>
      <c r="Q14" s="42">
        <f t="shared" si="7"/>
        <v>0</v>
      </c>
      <c r="R14" s="42">
        <f t="shared" si="8"/>
        <v>1</v>
      </c>
      <c r="S14" s="43" t="str">
        <f t="shared" si="9"/>
        <v>RHYMEZ</v>
      </c>
      <c r="T14" s="41"/>
      <c r="U14" s="28">
        <f t="shared" si="10"/>
        <v>1</v>
      </c>
      <c r="V14" s="28">
        <f t="shared" ref="V14:W14" si="22">IF($L14=0,"",$I14-$H14)</f>
        <v>-1</v>
      </c>
      <c r="W14" s="28">
        <f t="shared" si="22"/>
        <v>-1</v>
      </c>
      <c r="X14" s="28">
        <f t="shared" si="12"/>
        <v>1</v>
      </c>
      <c r="Y14" s="28"/>
      <c r="Z14" s="28"/>
    </row>
    <row r="15">
      <c r="A15" s="38">
        <v>13.0</v>
      </c>
      <c r="B15" s="39">
        <v>46040.0</v>
      </c>
      <c r="C15" s="40" t="s">
        <v>103</v>
      </c>
      <c r="D15" s="40" t="s">
        <v>95</v>
      </c>
      <c r="E15" s="41"/>
      <c r="F15" s="41"/>
      <c r="G15" s="40" t="s">
        <v>89</v>
      </c>
      <c r="H15" s="42">
        <f>IF($G15="Walkover_Home",Settings!$B$10,IF($G15="Walkover_Away",Settings!$B$11,IF($G15="Cancelled","",IF($E15="","",$E15))))</f>
        <v>3</v>
      </c>
      <c r="I15" s="42">
        <f>IF($G15="Walkover_Home",Settings!$B$11,IF($G15="Walkover_Away",Settings!$B$10,IF($G15="Cancelled","",IF($F15="","",$F15))))</f>
        <v>0</v>
      </c>
      <c r="J15" s="42">
        <f>IF($L15=0,"",IF($G15="Walkover_Home",Settings!$B$7,IF($G15="Walkover_Away",Settings!$B$8,IF($H15&gt;$I15,Settings!$B$3,IF($H15&lt;$I15,Settings!$B$4,Settings!$B$5)))))</f>
        <v>3</v>
      </c>
      <c r="K15" s="42">
        <f>IF($L15=0,"",IF($G15="Walkover_Home",Settings!$B$8,IF($G15="Walkover_Away",Settings!$B$7,IF($I15&gt;$H15,Settings!$B$3,IF($I15&lt;$H15,Settings!$B$4,Settings!$B$5)))))</f>
        <v>0</v>
      </c>
      <c r="L15" s="42">
        <f t="shared" si="2"/>
        <v>1</v>
      </c>
      <c r="M15" s="42">
        <f t="shared" si="3"/>
        <v>1</v>
      </c>
      <c r="N15" s="42">
        <f t="shared" si="4"/>
        <v>0</v>
      </c>
      <c r="O15" s="42">
        <f t="shared" si="5"/>
        <v>0</v>
      </c>
      <c r="P15" s="42">
        <f t="shared" si="6"/>
        <v>0</v>
      </c>
      <c r="Q15" s="42">
        <f t="shared" si="7"/>
        <v>0</v>
      </c>
      <c r="R15" s="42">
        <f t="shared" si="8"/>
        <v>1</v>
      </c>
      <c r="S15" s="43" t="str">
        <f t="shared" si="9"/>
        <v>BALO K</v>
      </c>
      <c r="T15" s="41"/>
      <c r="U15" s="28">
        <f t="shared" si="10"/>
        <v>3</v>
      </c>
      <c r="V15" s="28">
        <f t="shared" ref="V15:W15" si="23">IF($L15=0,"",$I15-$H15)</f>
        <v>-3</v>
      </c>
      <c r="W15" s="28">
        <f t="shared" si="23"/>
        <v>-3</v>
      </c>
      <c r="X15" s="28">
        <f t="shared" si="12"/>
        <v>3</v>
      </c>
      <c r="Y15" s="28"/>
      <c r="Z15" s="28"/>
    </row>
    <row r="16">
      <c r="A16" s="38">
        <v>14.0</v>
      </c>
      <c r="B16" s="39">
        <v>46040.0</v>
      </c>
      <c r="C16" s="40" t="s">
        <v>109</v>
      </c>
      <c r="D16" s="40" t="s">
        <v>114</v>
      </c>
      <c r="E16" s="40">
        <v>0.0</v>
      </c>
      <c r="F16" s="40">
        <v>10.0</v>
      </c>
      <c r="G16" s="41" t="s">
        <v>5</v>
      </c>
      <c r="H16" s="42">
        <f>IF($G16="Walkover_Home",Settings!$B$10,IF($G16="Walkover_Away",Settings!$B$11,IF($G16="Cancelled","",IF($E16="","",$E16))))</f>
        <v>0</v>
      </c>
      <c r="I16" s="42">
        <f>IF($G16="Walkover_Home",Settings!$B$11,IF($G16="Walkover_Away",Settings!$B$10,IF($G16="Cancelled","",IF($F16="","",$F16))))</f>
        <v>10</v>
      </c>
      <c r="J16" s="42">
        <f>IF($L16=0,"",IF($G16="Walkover_Home",Settings!$B$7,IF($G16="Walkover_Away",Settings!$B$8,IF($H16&gt;$I16,Settings!$B$3,IF($H16&lt;$I16,Settings!$B$4,Settings!$B$5)))))</f>
        <v>0</v>
      </c>
      <c r="K16" s="42">
        <f>IF($L16=0,"",IF($G16="Walkover_Home",Settings!$B$8,IF($G16="Walkover_Away",Settings!$B$7,IF($I16&gt;$H16,Settings!$B$3,IF($I16&lt;$H16,Settings!$B$4,Settings!$B$5)))))</f>
        <v>3</v>
      </c>
      <c r="L16" s="42">
        <f t="shared" si="2"/>
        <v>1</v>
      </c>
      <c r="M16" s="42">
        <f t="shared" si="3"/>
        <v>0</v>
      </c>
      <c r="N16" s="42">
        <f t="shared" si="4"/>
        <v>0</v>
      </c>
      <c r="O16" s="42">
        <f t="shared" si="5"/>
        <v>1</v>
      </c>
      <c r="P16" s="42">
        <f t="shared" si="6"/>
        <v>1</v>
      </c>
      <c r="Q16" s="42">
        <f t="shared" si="7"/>
        <v>0</v>
      </c>
      <c r="R16" s="42">
        <f t="shared" si="8"/>
        <v>0</v>
      </c>
      <c r="S16" s="43" t="str">
        <f t="shared" si="9"/>
        <v>KINGNONEX</v>
      </c>
      <c r="T16" s="41"/>
      <c r="U16" s="28">
        <f t="shared" si="10"/>
        <v>-10</v>
      </c>
      <c r="V16" s="28">
        <f t="shared" ref="V16:W16" si="24">IF($L16=0,"",$I16-$H16)</f>
        <v>10</v>
      </c>
      <c r="W16" s="28">
        <f t="shared" si="24"/>
        <v>10</v>
      </c>
      <c r="X16" s="28">
        <f t="shared" si="12"/>
        <v>-10</v>
      </c>
      <c r="Y16" s="28"/>
      <c r="Z16" s="28"/>
    </row>
    <row r="17">
      <c r="A17" s="38">
        <v>15.0</v>
      </c>
      <c r="B17" s="39">
        <v>46040.0</v>
      </c>
      <c r="C17" s="40" t="s">
        <v>98</v>
      </c>
      <c r="D17" s="40" t="s">
        <v>96</v>
      </c>
      <c r="E17" s="40">
        <v>6.0</v>
      </c>
      <c r="F17" s="40">
        <v>4.0</v>
      </c>
      <c r="G17" s="41" t="s">
        <v>5</v>
      </c>
      <c r="H17" s="42">
        <f>IF($G17="Walkover_Home",Settings!$B$10,IF($G17="Walkover_Away",Settings!$B$11,IF($G17="Cancelled","",IF($E17="","",$E17))))</f>
        <v>6</v>
      </c>
      <c r="I17" s="42">
        <f>IF($G17="Walkover_Home",Settings!$B$11,IF($G17="Walkover_Away",Settings!$B$10,IF($G17="Cancelled","",IF($F17="","",$F17))))</f>
        <v>4</v>
      </c>
      <c r="J17" s="42">
        <f>IF($L17=0,"",IF($G17="Walkover_Home",Settings!$B$7,IF($G17="Walkover_Away",Settings!$B$8,IF($H17&gt;$I17,Settings!$B$3,IF($H17&lt;$I17,Settings!$B$4,Settings!$B$5)))))</f>
        <v>3</v>
      </c>
      <c r="K17" s="42">
        <f>IF($L17=0,"",IF($G17="Walkover_Home",Settings!$B$8,IF($G17="Walkover_Away",Settings!$B$7,IF($I17&gt;$H17,Settings!$B$3,IF($I17&lt;$H17,Settings!$B$4,Settings!$B$5)))))</f>
        <v>0</v>
      </c>
      <c r="L17" s="42">
        <f t="shared" si="2"/>
        <v>1</v>
      </c>
      <c r="M17" s="42">
        <f t="shared" si="3"/>
        <v>1</v>
      </c>
      <c r="N17" s="42">
        <f t="shared" si="4"/>
        <v>0</v>
      </c>
      <c r="O17" s="42">
        <f t="shared" si="5"/>
        <v>0</v>
      </c>
      <c r="P17" s="42">
        <f t="shared" si="6"/>
        <v>0</v>
      </c>
      <c r="Q17" s="42">
        <f t="shared" si="7"/>
        <v>0</v>
      </c>
      <c r="R17" s="42">
        <f t="shared" si="8"/>
        <v>1</v>
      </c>
      <c r="S17" s="43" t="str">
        <f t="shared" si="9"/>
        <v>GURU</v>
      </c>
      <c r="T17" s="41"/>
      <c r="U17" s="28">
        <f t="shared" si="10"/>
        <v>2</v>
      </c>
      <c r="V17" s="28">
        <f t="shared" ref="V17:W17" si="25">IF($L17=0,"",$I17-$H17)</f>
        <v>-2</v>
      </c>
      <c r="W17" s="28">
        <f t="shared" si="25"/>
        <v>-2</v>
      </c>
      <c r="X17" s="28">
        <f t="shared" si="12"/>
        <v>2</v>
      </c>
      <c r="Y17" s="28"/>
      <c r="Z17" s="28"/>
    </row>
    <row r="18">
      <c r="A18" s="38">
        <v>16.0</v>
      </c>
      <c r="B18" s="39">
        <v>46040.0</v>
      </c>
      <c r="C18" s="40" t="s">
        <v>101</v>
      </c>
      <c r="D18" s="40" t="s">
        <v>107</v>
      </c>
      <c r="E18" s="40">
        <v>6.0</v>
      </c>
      <c r="F18" s="40">
        <v>4.0</v>
      </c>
      <c r="G18" s="41" t="s">
        <v>5</v>
      </c>
      <c r="H18" s="42">
        <f>IF($G18="Walkover_Home",Settings!$B$10,IF($G18="Walkover_Away",Settings!$B$11,IF($G18="Cancelled","",IF($E18="","",$E18))))</f>
        <v>6</v>
      </c>
      <c r="I18" s="42">
        <f>IF($G18="Walkover_Home",Settings!$B$11,IF($G18="Walkover_Away",Settings!$B$10,IF($G18="Cancelled","",IF($F18="","",$F18))))</f>
        <v>4</v>
      </c>
      <c r="J18" s="42">
        <f>IF($L18=0,"",IF($G18="Walkover_Home",Settings!$B$7,IF($G18="Walkover_Away",Settings!$B$8,IF($H18&gt;$I18,Settings!$B$3,IF($H18&lt;$I18,Settings!$B$4,Settings!$B$5)))))</f>
        <v>3</v>
      </c>
      <c r="K18" s="42">
        <f>IF($L18=0,"",IF($G18="Walkover_Home",Settings!$B$8,IF($G18="Walkover_Away",Settings!$B$7,IF($I18&gt;$H18,Settings!$B$3,IF($I18&lt;$H18,Settings!$B$4,Settings!$B$5)))))</f>
        <v>0</v>
      </c>
      <c r="L18" s="42">
        <f t="shared" si="2"/>
        <v>1</v>
      </c>
      <c r="M18" s="42">
        <f t="shared" si="3"/>
        <v>1</v>
      </c>
      <c r="N18" s="42">
        <f t="shared" si="4"/>
        <v>0</v>
      </c>
      <c r="O18" s="42">
        <f t="shared" si="5"/>
        <v>0</v>
      </c>
      <c r="P18" s="42">
        <f t="shared" si="6"/>
        <v>0</v>
      </c>
      <c r="Q18" s="42">
        <f t="shared" si="7"/>
        <v>0</v>
      </c>
      <c r="R18" s="42">
        <f t="shared" si="8"/>
        <v>1</v>
      </c>
      <c r="S18" s="43" t="str">
        <f t="shared" si="9"/>
        <v>WOLEVATION</v>
      </c>
      <c r="T18" s="41"/>
      <c r="U18" s="28">
        <f t="shared" si="10"/>
        <v>2</v>
      </c>
      <c r="V18" s="28">
        <f t="shared" ref="V18:W18" si="26">IF($L18=0,"",$I18-$H18)</f>
        <v>-2</v>
      </c>
      <c r="W18" s="28">
        <f t="shared" si="26"/>
        <v>-2</v>
      </c>
      <c r="X18" s="28">
        <f t="shared" si="12"/>
        <v>2</v>
      </c>
      <c r="Y18" s="28"/>
      <c r="Z18" s="28"/>
    </row>
    <row r="19">
      <c r="A19" s="38">
        <v>17.0</v>
      </c>
      <c r="B19" s="39">
        <v>46040.0</v>
      </c>
      <c r="C19" s="40" t="s">
        <v>112</v>
      </c>
      <c r="D19" s="40" t="s">
        <v>110</v>
      </c>
      <c r="E19" s="40">
        <v>0.0</v>
      </c>
      <c r="F19" s="40">
        <v>6.0</v>
      </c>
      <c r="G19" s="41" t="s">
        <v>5</v>
      </c>
      <c r="H19" s="42">
        <f>IF($G19="Walkover_Home",Settings!$B$10,IF($G19="Walkover_Away",Settings!$B$11,IF($G19="Cancelled","",IF($E19="","",$E19))))</f>
        <v>0</v>
      </c>
      <c r="I19" s="42">
        <f>IF($G19="Walkover_Home",Settings!$B$11,IF($G19="Walkover_Away",Settings!$B$10,IF($G19="Cancelled","",IF($F19="","",$F19))))</f>
        <v>6</v>
      </c>
      <c r="J19" s="42">
        <f>IF($L19=0,"",IF($G19="Walkover_Home",Settings!$B$7,IF($G19="Walkover_Away",Settings!$B$8,IF($H19&gt;$I19,Settings!$B$3,IF($H19&lt;$I19,Settings!$B$4,Settings!$B$5)))))</f>
        <v>0</v>
      </c>
      <c r="K19" s="42">
        <f>IF($L19=0,"",IF($G19="Walkover_Home",Settings!$B$8,IF($G19="Walkover_Away",Settings!$B$7,IF($I19&gt;$H19,Settings!$B$3,IF($I19&lt;$H19,Settings!$B$4,Settings!$B$5)))))</f>
        <v>3</v>
      </c>
      <c r="L19" s="42">
        <f t="shared" si="2"/>
        <v>1</v>
      </c>
      <c r="M19" s="42">
        <f t="shared" si="3"/>
        <v>0</v>
      </c>
      <c r="N19" s="42">
        <f t="shared" si="4"/>
        <v>0</v>
      </c>
      <c r="O19" s="42">
        <f t="shared" si="5"/>
        <v>1</v>
      </c>
      <c r="P19" s="42">
        <f t="shared" si="6"/>
        <v>1</v>
      </c>
      <c r="Q19" s="42">
        <f t="shared" si="7"/>
        <v>0</v>
      </c>
      <c r="R19" s="42">
        <f t="shared" si="8"/>
        <v>0</v>
      </c>
      <c r="S19" s="43" t="str">
        <f t="shared" si="9"/>
        <v>SON OF GOD</v>
      </c>
      <c r="T19" s="41"/>
      <c r="U19" s="28">
        <f t="shared" si="10"/>
        <v>-6</v>
      </c>
      <c r="V19" s="28">
        <f t="shared" ref="V19:W19" si="27">IF($L19=0,"",$I19-$H19)</f>
        <v>6</v>
      </c>
      <c r="W19" s="28">
        <f t="shared" si="27"/>
        <v>6</v>
      </c>
      <c r="X19" s="28">
        <f t="shared" si="12"/>
        <v>-6</v>
      </c>
      <c r="Y19" s="28"/>
      <c r="Z19" s="28"/>
    </row>
    <row r="20">
      <c r="A20" s="38">
        <v>18.0</v>
      </c>
      <c r="B20" s="39">
        <v>46040.0</v>
      </c>
      <c r="C20" s="40" t="s">
        <v>108</v>
      </c>
      <c r="D20" s="40" t="s">
        <v>103</v>
      </c>
      <c r="E20" s="40">
        <v>7.0</v>
      </c>
      <c r="F20" s="40">
        <v>5.0</v>
      </c>
      <c r="G20" s="41" t="s">
        <v>5</v>
      </c>
      <c r="H20" s="42">
        <f>IF($G20="Walkover_Home",Settings!$B$10,IF($G20="Walkover_Away",Settings!$B$11,IF($G20="Cancelled","",IF($E20="","",$E20))))</f>
        <v>7</v>
      </c>
      <c r="I20" s="42">
        <f>IF($G20="Walkover_Home",Settings!$B$11,IF($G20="Walkover_Away",Settings!$B$10,IF($G20="Cancelled","",IF($F20="","",$F20))))</f>
        <v>5</v>
      </c>
      <c r="J20" s="42">
        <f>IF($L20=0,"",IF($G20="Walkover_Home",Settings!$B$7,IF($G20="Walkover_Away",Settings!$B$8,IF($H20&gt;$I20,Settings!$B$3,IF($H20&lt;$I20,Settings!$B$4,Settings!$B$5)))))</f>
        <v>3</v>
      </c>
      <c r="K20" s="42">
        <f>IF($L20=0,"",IF($G20="Walkover_Home",Settings!$B$8,IF($G20="Walkover_Away",Settings!$B$7,IF($I20&gt;$H20,Settings!$B$3,IF($I20&lt;$H20,Settings!$B$4,Settings!$B$5)))))</f>
        <v>0</v>
      </c>
      <c r="L20" s="42">
        <f t="shared" si="2"/>
        <v>1</v>
      </c>
      <c r="M20" s="42">
        <f t="shared" si="3"/>
        <v>1</v>
      </c>
      <c r="N20" s="42">
        <f t="shared" si="4"/>
        <v>0</v>
      </c>
      <c r="O20" s="42">
        <f t="shared" si="5"/>
        <v>0</v>
      </c>
      <c r="P20" s="42">
        <f t="shared" si="6"/>
        <v>0</v>
      </c>
      <c r="Q20" s="42">
        <f t="shared" si="7"/>
        <v>0</v>
      </c>
      <c r="R20" s="42">
        <f t="shared" si="8"/>
        <v>1</v>
      </c>
      <c r="S20" s="43" t="str">
        <f t="shared" si="9"/>
        <v>GAMEWITHJOSH</v>
      </c>
      <c r="T20" s="41"/>
      <c r="U20" s="28">
        <f t="shared" si="10"/>
        <v>2</v>
      </c>
      <c r="V20" s="28">
        <f t="shared" ref="V20:W20" si="28">IF($L20=0,"",$I20-$H20)</f>
        <v>-2</v>
      </c>
      <c r="W20" s="28">
        <f t="shared" si="28"/>
        <v>-2</v>
      </c>
      <c r="X20" s="28">
        <f t="shared" si="12"/>
        <v>2</v>
      </c>
      <c r="Y20" s="28"/>
      <c r="Z20" s="28"/>
    </row>
    <row r="21" ht="15.75" customHeight="1">
      <c r="A21" s="38">
        <v>19.0</v>
      </c>
      <c r="B21" s="39">
        <v>46040.0</v>
      </c>
      <c r="C21" s="40" t="s">
        <v>104</v>
      </c>
      <c r="D21" s="40" t="s">
        <v>97</v>
      </c>
      <c r="E21" s="40">
        <v>6.0</v>
      </c>
      <c r="F21" s="40">
        <v>1.0</v>
      </c>
      <c r="G21" s="41" t="s">
        <v>5</v>
      </c>
      <c r="H21" s="42">
        <f>IF($G21="Walkover_Home",Settings!$B$10,IF($G21="Walkover_Away",Settings!$B$11,IF($G21="Cancelled","",IF($E21="","",$E21))))</f>
        <v>6</v>
      </c>
      <c r="I21" s="42">
        <f>IF($G21="Walkover_Home",Settings!$B$11,IF($G21="Walkover_Away",Settings!$B$10,IF($G21="Cancelled","",IF($F21="","",$F21))))</f>
        <v>1</v>
      </c>
      <c r="J21" s="42">
        <f>IF($L21=0,"",IF($G21="Walkover_Home",Settings!$B$7,IF($G21="Walkover_Away",Settings!$B$8,IF($H21&gt;$I21,Settings!$B$3,IF($H21&lt;$I21,Settings!$B$4,Settings!$B$5)))))</f>
        <v>3</v>
      </c>
      <c r="K21" s="42">
        <f>IF($L21=0,"",IF($G21="Walkover_Home",Settings!$B$8,IF($G21="Walkover_Away",Settings!$B$7,IF($I21&gt;$H21,Settings!$B$3,IF($I21&lt;$H21,Settings!$B$4,Settings!$B$5)))))</f>
        <v>0</v>
      </c>
      <c r="L21" s="42">
        <f t="shared" si="2"/>
        <v>1</v>
      </c>
      <c r="M21" s="42">
        <f t="shared" si="3"/>
        <v>1</v>
      </c>
      <c r="N21" s="42">
        <f t="shared" si="4"/>
        <v>0</v>
      </c>
      <c r="O21" s="42">
        <f t="shared" si="5"/>
        <v>0</v>
      </c>
      <c r="P21" s="42">
        <f t="shared" si="6"/>
        <v>0</v>
      </c>
      <c r="Q21" s="42">
        <f t="shared" si="7"/>
        <v>0</v>
      </c>
      <c r="R21" s="42">
        <f t="shared" si="8"/>
        <v>1</v>
      </c>
      <c r="S21" s="43" t="str">
        <f t="shared" si="9"/>
        <v>YEMOLEE</v>
      </c>
      <c r="T21" s="41"/>
      <c r="U21" s="28">
        <f t="shared" si="10"/>
        <v>5</v>
      </c>
      <c r="V21" s="28">
        <f t="shared" ref="V21:W21" si="29">IF($L21=0,"",$I21-$H21)</f>
        <v>-5</v>
      </c>
      <c r="W21" s="28">
        <f t="shared" si="29"/>
        <v>-5</v>
      </c>
      <c r="X21" s="28">
        <f t="shared" si="12"/>
        <v>5</v>
      </c>
      <c r="Y21" s="28"/>
      <c r="Z21" s="28"/>
    </row>
    <row r="22" ht="15.75" customHeight="1">
      <c r="A22" s="38">
        <v>20.0</v>
      </c>
      <c r="B22" s="39">
        <v>46040.0</v>
      </c>
      <c r="C22" s="40" t="s">
        <v>113</v>
      </c>
      <c r="D22" s="40" t="s">
        <v>111</v>
      </c>
      <c r="E22" s="40">
        <v>4.0</v>
      </c>
      <c r="F22" s="40">
        <v>7.0</v>
      </c>
      <c r="G22" s="41" t="s">
        <v>5</v>
      </c>
      <c r="H22" s="42">
        <f>IF($G22="Walkover_Home",Settings!$B$10,IF($G22="Walkover_Away",Settings!$B$11,IF($G22="Cancelled","",IF($E22="","",$E22))))</f>
        <v>4</v>
      </c>
      <c r="I22" s="42">
        <f>IF($G22="Walkover_Home",Settings!$B$11,IF($G22="Walkover_Away",Settings!$B$10,IF($G22="Cancelled","",IF($F22="","",$F22))))</f>
        <v>7</v>
      </c>
      <c r="J22" s="42">
        <f>IF($L22=0,"",IF($G22="Walkover_Home",Settings!$B$7,IF($G22="Walkover_Away",Settings!$B$8,IF($H22&gt;$I22,Settings!$B$3,IF($H22&lt;$I22,Settings!$B$4,Settings!$B$5)))))</f>
        <v>0</v>
      </c>
      <c r="K22" s="42">
        <f>IF($L22=0,"",IF($G22="Walkover_Home",Settings!$B$8,IF($G22="Walkover_Away",Settings!$B$7,IF($I22&gt;$H22,Settings!$B$3,IF($I22&lt;$H22,Settings!$B$4,Settings!$B$5)))))</f>
        <v>3</v>
      </c>
      <c r="L22" s="42">
        <f t="shared" si="2"/>
        <v>1</v>
      </c>
      <c r="M22" s="42">
        <f t="shared" si="3"/>
        <v>0</v>
      </c>
      <c r="N22" s="42">
        <f t="shared" si="4"/>
        <v>0</v>
      </c>
      <c r="O22" s="42">
        <f t="shared" si="5"/>
        <v>1</v>
      </c>
      <c r="P22" s="42">
        <f t="shared" si="6"/>
        <v>1</v>
      </c>
      <c r="Q22" s="42">
        <f t="shared" si="7"/>
        <v>0</v>
      </c>
      <c r="R22" s="42">
        <f t="shared" si="8"/>
        <v>0</v>
      </c>
      <c r="S22" s="43" t="str">
        <f t="shared" si="9"/>
        <v>DRACARYS</v>
      </c>
      <c r="T22" s="41"/>
      <c r="U22" s="28">
        <f t="shared" si="10"/>
        <v>-3</v>
      </c>
      <c r="V22" s="28">
        <f t="shared" ref="V22:W22" si="30">IF($L22=0,"",$I22-$H22)</f>
        <v>3</v>
      </c>
      <c r="W22" s="28">
        <f t="shared" si="30"/>
        <v>3</v>
      </c>
      <c r="X22" s="28">
        <f t="shared" si="12"/>
        <v>-3</v>
      </c>
      <c r="Y22" s="28"/>
      <c r="Z22" s="28"/>
    </row>
    <row r="23" ht="15.75" customHeight="1">
      <c r="A23" s="38">
        <v>21.0</v>
      </c>
      <c r="B23" s="39">
        <v>46040.0</v>
      </c>
      <c r="C23" s="40" t="s">
        <v>100</v>
      </c>
      <c r="D23" s="40" t="s">
        <v>101</v>
      </c>
      <c r="E23" s="40">
        <v>3.0</v>
      </c>
      <c r="F23" s="40">
        <v>7.0</v>
      </c>
      <c r="G23" s="41" t="s">
        <v>5</v>
      </c>
      <c r="H23" s="42">
        <f>IF($G23="Walkover_Home",Settings!$B$10,IF($G23="Walkover_Away",Settings!$B$11,IF($G23="Cancelled","",IF($E23="","",$E23))))</f>
        <v>3</v>
      </c>
      <c r="I23" s="42">
        <f>IF($G23="Walkover_Home",Settings!$B$11,IF($G23="Walkover_Away",Settings!$B$10,IF($G23="Cancelled","",IF($F23="","",$F23))))</f>
        <v>7</v>
      </c>
      <c r="J23" s="42">
        <f>IF($L23=0,"",IF($G23="Walkover_Home",Settings!$B$7,IF($G23="Walkover_Away",Settings!$B$8,IF($H23&gt;$I23,Settings!$B$3,IF($H23&lt;$I23,Settings!$B$4,Settings!$B$5)))))</f>
        <v>0</v>
      </c>
      <c r="K23" s="42">
        <f>IF($L23=0,"",IF($G23="Walkover_Home",Settings!$B$8,IF($G23="Walkover_Away",Settings!$B$7,IF($I23&gt;$H23,Settings!$B$3,IF($I23&lt;$H23,Settings!$B$4,Settings!$B$5)))))</f>
        <v>3</v>
      </c>
      <c r="L23" s="42">
        <f t="shared" si="2"/>
        <v>1</v>
      </c>
      <c r="M23" s="42">
        <f t="shared" si="3"/>
        <v>0</v>
      </c>
      <c r="N23" s="42">
        <f t="shared" si="4"/>
        <v>0</v>
      </c>
      <c r="O23" s="42">
        <f t="shared" si="5"/>
        <v>1</v>
      </c>
      <c r="P23" s="42">
        <f t="shared" si="6"/>
        <v>1</v>
      </c>
      <c r="Q23" s="42">
        <f t="shared" si="7"/>
        <v>0</v>
      </c>
      <c r="R23" s="42">
        <f t="shared" si="8"/>
        <v>0</v>
      </c>
      <c r="S23" s="43" t="str">
        <f t="shared" si="9"/>
        <v>WOLEVATION</v>
      </c>
      <c r="T23" s="41"/>
      <c r="U23" s="28">
        <f t="shared" si="10"/>
        <v>-4</v>
      </c>
      <c r="V23" s="28">
        <f t="shared" ref="V23:W23" si="31">IF($L23=0,"",$I23-$H23)</f>
        <v>4</v>
      </c>
      <c r="W23" s="28">
        <f t="shared" si="31"/>
        <v>4</v>
      </c>
      <c r="X23" s="28">
        <f t="shared" si="12"/>
        <v>-4</v>
      </c>
      <c r="Y23" s="28"/>
      <c r="Z23" s="28"/>
    </row>
    <row r="24" ht="15.75" customHeight="1">
      <c r="A24" s="38">
        <v>22.0</v>
      </c>
      <c r="B24" s="39">
        <v>46040.0</v>
      </c>
      <c r="C24" s="40" t="s">
        <v>106</v>
      </c>
      <c r="D24" s="40" t="s">
        <v>114</v>
      </c>
      <c r="E24" s="40">
        <v>1.0</v>
      </c>
      <c r="F24" s="40">
        <v>6.0</v>
      </c>
      <c r="G24" s="41" t="s">
        <v>5</v>
      </c>
      <c r="H24" s="42">
        <f>IF($G24="Walkover_Home",Settings!$B$10,IF($G24="Walkover_Away",Settings!$B$11,IF($G24="Cancelled","",IF($E24="","",$E24))))</f>
        <v>1</v>
      </c>
      <c r="I24" s="42">
        <f>IF($G24="Walkover_Home",Settings!$B$11,IF($G24="Walkover_Away",Settings!$B$10,IF($G24="Cancelled","",IF($F24="","",$F24))))</f>
        <v>6</v>
      </c>
      <c r="J24" s="42">
        <f>IF($L24=0,"",IF($G24="Walkover_Home",Settings!$B$7,IF($G24="Walkover_Away",Settings!$B$8,IF($H24&gt;$I24,Settings!$B$3,IF($H24&lt;$I24,Settings!$B$4,Settings!$B$5)))))</f>
        <v>0</v>
      </c>
      <c r="K24" s="42">
        <f>IF($L24=0,"",IF($G24="Walkover_Home",Settings!$B$8,IF($G24="Walkover_Away",Settings!$B$7,IF($I24&gt;$H24,Settings!$B$3,IF($I24&lt;$H24,Settings!$B$4,Settings!$B$5)))))</f>
        <v>3</v>
      </c>
      <c r="L24" s="42">
        <f t="shared" si="2"/>
        <v>1</v>
      </c>
      <c r="M24" s="42">
        <f t="shared" si="3"/>
        <v>0</v>
      </c>
      <c r="N24" s="42">
        <f t="shared" si="4"/>
        <v>0</v>
      </c>
      <c r="O24" s="42">
        <f t="shared" si="5"/>
        <v>1</v>
      </c>
      <c r="P24" s="42">
        <f t="shared" si="6"/>
        <v>1</v>
      </c>
      <c r="Q24" s="42">
        <f t="shared" si="7"/>
        <v>0</v>
      </c>
      <c r="R24" s="42">
        <f t="shared" si="8"/>
        <v>0</v>
      </c>
      <c r="S24" s="43" t="str">
        <f t="shared" si="9"/>
        <v>KINGNONEX</v>
      </c>
      <c r="T24" s="41"/>
      <c r="U24" s="28">
        <f t="shared" si="10"/>
        <v>-5</v>
      </c>
      <c r="V24" s="28">
        <f t="shared" ref="V24:W24" si="32">IF($L24=0,"",$I24-$H24)</f>
        <v>5</v>
      </c>
      <c r="W24" s="28">
        <f t="shared" si="32"/>
        <v>5</v>
      </c>
      <c r="X24" s="28">
        <f t="shared" si="12"/>
        <v>-5</v>
      </c>
      <c r="Y24" s="28"/>
      <c r="Z24" s="28"/>
    </row>
    <row r="25" ht="15.75" customHeight="1">
      <c r="A25" s="38">
        <v>23.0</v>
      </c>
      <c r="B25" s="39">
        <v>46040.0</v>
      </c>
      <c r="C25" s="40" t="s">
        <v>99</v>
      </c>
      <c r="D25" s="40" t="s">
        <v>111</v>
      </c>
      <c r="E25" s="40">
        <v>5.0</v>
      </c>
      <c r="F25" s="40">
        <v>4.0</v>
      </c>
      <c r="G25" s="41" t="s">
        <v>5</v>
      </c>
      <c r="H25" s="42">
        <f>IF($G25="Walkover_Home",Settings!$B$10,IF($G25="Walkover_Away",Settings!$B$11,IF($G25="Cancelled","",IF($E25="","",$E25))))</f>
        <v>5</v>
      </c>
      <c r="I25" s="42">
        <f>IF($G25="Walkover_Home",Settings!$B$11,IF($G25="Walkover_Away",Settings!$B$10,IF($G25="Cancelled","",IF($F25="","",$F25))))</f>
        <v>4</v>
      </c>
      <c r="J25" s="42">
        <f>IF($L25=0,"",IF($G25="Walkover_Home",Settings!$B$7,IF($G25="Walkover_Away",Settings!$B$8,IF($H25&gt;$I25,Settings!$B$3,IF($H25&lt;$I25,Settings!$B$4,Settings!$B$5)))))</f>
        <v>3</v>
      </c>
      <c r="K25" s="42">
        <f>IF($L25=0,"",IF($G25="Walkover_Home",Settings!$B$8,IF($G25="Walkover_Away",Settings!$B$7,IF($I25&gt;$H25,Settings!$B$3,IF($I25&lt;$H25,Settings!$B$4,Settings!$B$5)))))</f>
        <v>0</v>
      </c>
      <c r="L25" s="42">
        <f t="shared" si="2"/>
        <v>1</v>
      </c>
      <c r="M25" s="42">
        <f t="shared" si="3"/>
        <v>1</v>
      </c>
      <c r="N25" s="42">
        <f t="shared" si="4"/>
        <v>0</v>
      </c>
      <c r="O25" s="42">
        <f t="shared" si="5"/>
        <v>0</v>
      </c>
      <c r="P25" s="42">
        <f t="shared" si="6"/>
        <v>0</v>
      </c>
      <c r="Q25" s="42">
        <f t="shared" si="7"/>
        <v>0</v>
      </c>
      <c r="R25" s="42">
        <f t="shared" si="8"/>
        <v>1</v>
      </c>
      <c r="S25" s="43" t="str">
        <f t="shared" si="9"/>
        <v>KAYKAY</v>
      </c>
      <c r="T25" s="41"/>
      <c r="U25" s="28">
        <f t="shared" si="10"/>
        <v>1</v>
      </c>
      <c r="V25" s="28">
        <f t="shared" ref="V25:W25" si="33">IF($L25=0,"",$I25-$H25)</f>
        <v>-1</v>
      </c>
      <c r="W25" s="28">
        <f t="shared" si="33"/>
        <v>-1</v>
      </c>
      <c r="X25" s="28">
        <f t="shared" si="12"/>
        <v>1</v>
      </c>
      <c r="Y25" s="28"/>
      <c r="Z25" s="28"/>
    </row>
    <row r="26" ht="15.75" customHeight="1">
      <c r="A26" s="38">
        <v>24.0</v>
      </c>
      <c r="B26" s="39">
        <v>46040.0</v>
      </c>
      <c r="C26" s="40" t="s">
        <v>102</v>
      </c>
      <c r="D26" s="40" t="s">
        <v>98</v>
      </c>
      <c r="E26" s="40">
        <v>2.0</v>
      </c>
      <c r="F26" s="40">
        <v>5.0</v>
      </c>
      <c r="G26" s="41" t="s">
        <v>5</v>
      </c>
      <c r="H26" s="42">
        <f>IF($G26="Walkover_Home",Settings!$B$10,IF($G26="Walkover_Away",Settings!$B$11,IF($G26="Cancelled","",IF($E26="","",$E26))))</f>
        <v>2</v>
      </c>
      <c r="I26" s="42">
        <f>IF($G26="Walkover_Home",Settings!$B$11,IF($G26="Walkover_Away",Settings!$B$10,IF($G26="Cancelled","",IF($F26="","",$F26))))</f>
        <v>5</v>
      </c>
      <c r="J26" s="42">
        <f>IF($L26=0,"",IF($G26="Walkover_Home",Settings!$B$7,IF($G26="Walkover_Away",Settings!$B$8,IF($H26&gt;$I26,Settings!$B$3,IF($H26&lt;$I26,Settings!$B$4,Settings!$B$5)))))</f>
        <v>0</v>
      </c>
      <c r="K26" s="42">
        <f>IF($L26=0,"",IF($G26="Walkover_Home",Settings!$B$8,IF($G26="Walkover_Away",Settings!$B$7,IF($I26&gt;$H26,Settings!$B$3,IF($I26&lt;$H26,Settings!$B$4,Settings!$B$5)))))</f>
        <v>3</v>
      </c>
      <c r="L26" s="42">
        <f t="shared" si="2"/>
        <v>1</v>
      </c>
      <c r="M26" s="42">
        <f t="shared" si="3"/>
        <v>0</v>
      </c>
      <c r="N26" s="42">
        <f t="shared" si="4"/>
        <v>0</v>
      </c>
      <c r="O26" s="42">
        <f t="shared" si="5"/>
        <v>1</v>
      </c>
      <c r="P26" s="42">
        <f t="shared" si="6"/>
        <v>1</v>
      </c>
      <c r="Q26" s="42">
        <f t="shared" si="7"/>
        <v>0</v>
      </c>
      <c r="R26" s="42">
        <f t="shared" si="8"/>
        <v>0</v>
      </c>
      <c r="S26" s="43" t="str">
        <f t="shared" si="9"/>
        <v>GURU</v>
      </c>
      <c r="T26" s="41"/>
      <c r="U26" s="28">
        <f t="shared" si="10"/>
        <v>-3</v>
      </c>
      <c r="V26" s="28">
        <f t="shared" ref="V26:W26" si="34">IF($L26=0,"",$I26-$H26)</f>
        <v>3</v>
      </c>
      <c r="W26" s="28">
        <f t="shared" si="34"/>
        <v>3</v>
      </c>
      <c r="X26" s="28">
        <f t="shared" si="12"/>
        <v>-3</v>
      </c>
      <c r="Y26" s="28"/>
      <c r="Z26" s="28"/>
    </row>
    <row r="27" ht="15.75" customHeight="1">
      <c r="A27" s="38">
        <v>25.0</v>
      </c>
      <c r="B27" s="39">
        <v>46046.0</v>
      </c>
      <c r="C27" s="40" t="s">
        <v>97</v>
      </c>
      <c r="D27" s="40" t="s">
        <v>96</v>
      </c>
      <c r="E27" s="40">
        <v>3.0</v>
      </c>
      <c r="F27" s="40">
        <v>5.0</v>
      </c>
      <c r="G27" s="41" t="s">
        <v>5</v>
      </c>
      <c r="H27" s="42">
        <f>IF($G27="Walkover_Home",Settings!$B$10,IF($G27="Walkover_Away",Settings!$B$11,IF($G27="Cancelled","",IF($E27="","",$E27))))</f>
        <v>3</v>
      </c>
      <c r="I27" s="42">
        <f>IF($G27="Walkover_Home",Settings!$B$11,IF($G27="Walkover_Away",Settings!$B$10,IF($G27="Cancelled","",IF($F27="","",$F27))))</f>
        <v>5</v>
      </c>
      <c r="J27" s="42">
        <f>IF($L27=0,"",IF($G27="Walkover_Home",Settings!$B$7,IF($G27="Walkover_Away",Settings!$B$8,IF($H27&gt;$I27,Settings!$B$3,IF($H27&lt;$I27,Settings!$B$4,Settings!$B$5)))))</f>
        <v>0</v>
      </c>
      <c r="K27" s="42">
        <f>IF($L27=0,"",IF($G27="Walkover_Home",Settings!$B$8,IF($G27="Walkover_Away",Settings!$B$7,IF($I27&gt;$H27,Settings!$B$3,IF($I27&lt;$H27,Settings!$B$4,Settings!$B$5)))))</f>
        <v>3</v>
      </c>
      <c r="L27" s="42">
        <f t="shared" si="2"/>
        <v>1</v>
      </c>
      <c r="M27" s="42">
        <f t="shared" si="3"/>
        <v>0</v>
      </c>
      <c r="N27" s="42">
        <f t="shared" si="4"/>
        <v>0</v>
      </c>
      <c r="O27" s="42">
        <f t="shared" si="5"/>
        <v>1</v>
      </c>
      <c r="P27" s="42">
        <f t="shared" si="6"/>
        <v>1</v>
      </c>
      <c r="Q27" s="42">
        <f t="shared" si="7"/>
        <v>0</v>
      </c>
      <c r="R27" s="42">
        <f t="shared" si="8"/>
        <v>0</v>
      </c>
      <c r="S27" s="43" t="str">
        <f t="shared" si="9"/>
        <v>ANIFE</v>
      </c>
      <c r="T27" s="41"/>
      <c r="U27" s="28">
        <f t="shared" si="10"/>
        <v>-2</v>
      </c>
      <c r="V27" s="28">
        <f t="shared" ref="V27:W27" si="35">IF($L27=0,"",$I27-$H27)</f>
        <v>2</v>
      </c>
      <c r="W27" s="28">
        <f t="shared" si="35"/>
        <v>2</v>
      </c>
      <c r="X27" s="28">
        <f t="shared" si="12"/>
        <v>-2</v>
      </c>
      <c r="Y27" s="28"/>
      <c r="Z27" s="28"/>
    </row>
    <row r="28" ht="15.75" customHeight="1">
      <c r="A28" s="38">
        <v>26.0</v>
      </c>
      <c r="B28" s="39">
        <v>46046.0</v>
      </c>
      <c r="C28" s="40" t="s">
        <v>113</v>
      </c>
      <c r="D28" s="40" t="s">
        <v>107</v>
      </c>
      <c r="E28" s="40">
        <v>5.0</v>
      </c>
      <c r="F28" s="40">
        <v>4.0</v>
      </c>
      <c r="G28" s="41" t="s">
        <v>5</v>
      </c>
      <c r="H28" s="42">
        <f>IF($G28="Walkover_Home",Settings!$B$10,IF($G28="Walkover_Away",Settings!$B$11,IF($G28="Cancelled","",IF($E28="","",$E28))))</f>
        <v>5</v>
      </c>
      <c r="I28" s="42">
        <f>IF($G28="Walkover_Home",Settings!$B$11,IF($G28="Walkover_Away",Settings!$B$10,IF($G28="Cancelled","",IF($F28="","",$F28))))</f>
        <v>4</v>
      </c>
      <c r="J28" s="42">
        <f>IF($L28=0,"",IF($G28="Walkover_Home",Settings!$B$7,IF($G28="Walkover_Away",Settings!$B$8,IF($H28&gt;$I28,Settings!$B$3,IF($H28&lt;$I28,Settings!$B$4,Settings!$B$5)))))</f>
        <v>3</v>
      </c>
      <c r="K28" s="42">
        <f>IF($L28=0,"",IF($G28="Walkover_Home",Settings!$B$8,IF($G28="Walkover_Away",Settings!$B$7,IF($I28&gt;$H28,Settings!$B$3,IF($I28&lt;$H28,Settings!$B$4,Settings!$B$5)))))</f>
        <v>0</v>
      </c>
      <c r="L28" s="42">
        <f t="shared" si="2"/>
        <v>1</v>
      </c>
      <c r="M28" s="42">
        <f t="shared" si="3"/>
        <v>1</v>
      </c>
      <c r="N28" s="42">
        <f t="shared" si="4"/>
        <v>0</v>
      </c>
      <c r="O28" s="42">
        <f t="shared" si="5"/>
        <v>0</v>
      </c>
      <c r="P28" s="42">
        <f t="shared" si="6"/>
        <v>0</v>
      </c>
      <c r="Q28" s="42">
        <f t="shared" si="7"/>
        <v>0</v>
      </c>
      <c r="R28" s="42">
        <f t="shared" si="8"/>
        <v>1</v>
      </c>
      <c r="S28" s="43" t="str">
        <f t="shared" si="9"/>
        <v>BRIGHT</v>
      </c>
      <c r="T28" s="41"/>
      <c r="U28" s="28">
        <f t="shared" si="10"/>
        <v>1</v>
      </c>
      <c r="V28" s="28">
        <f t="shared" ref="V28:W28" si="36">IF($L28=0,"",$I28-$H28)</f>
        <v>-1</v>
      </c>
      <c r="W28" s="28">
        <f t="shared" si="36"/>
        <v>-1</v>
      </c>
      <c r="X28" s="28">
        <f t="shared" si="12"/>
        <v>1</v>
      </c>
      <c r="Y28" s="28"/>
      <c r="Z28" s="28"/>
    </row>
    <row r="29" ht="15.75" customHeight="1">
      <c r="A29" s="38">
        <v>27.0</v>
      </c>
      <c r="B29" s="39">
        <v>46046.0</v>
      </c>
      <c r="C29" s="40" t="s">
        <v>99</v>
      </c>
      <c r="D29" s="40" t="s">
        <v>108</v>
      </c>
      <c r="E29" s="40">
        <v>7.0</v>
      </c>
      <c r="F29" s="40">
        <v>7.0</v>
      </c>
      <c r="G29" s="41" t="s">
        <v>5</v>
      </c>
      <c r="H29" s="42">
        <f>IF($G29="Walkover_Home",Settings!$B$10,IF($G29="Walkover_Away",Settings!$B$11,IF($G29="Cancelled","",IF($E29="","",$E29))))</f>
        <v>7</v>
      </c>
      <c r="I29" s="42">
        <f>IF($G29="Walkover_Home",Settings!$B$11,IF($G29="Walkover_Away",Settings!$B$10,IF($G29="Cancelled","",IF($F29="","",$F29))))</f>
        <v>7</v>
      </c>
      <c r="J29" s="42">
        <f>IF($L29=0,"",IF($G29="Walkover_Home",Settings!$B$7,IF($G29="Walkover_Away",Settings!$B$8,IF($H29&gt;$I29,Settings!$B$3,IF($H29&lt;$I29,Settings!$B$4,Settings!$B$5)))))</f>
        <v>1</v>
      </c>
      <c r="K29" s="42">
        <f>IF($L29=0,"",IF($G29="Walkover_Home",Settings!$B$8,IF($G29="Walkover_Away",Settings!$B$7,IF($I29&gt;$H29,Settings!$B$3,IF($I29&lt;$H29,Settings!$B$4,Settings!$B$5)))))</f>
        <v>1</v>
      </c>
      <c r="L29" s="42">
        <f t="shared" si="2"/>
        <v>1</v>
      </c>
      <c r="M29" s="42">
        <f t="shared" si="3"/>
        <v>0</v>
      </c>
      <c r="N29" s="42">
        <f t="shared" si="4"/>
        <v>1</v>
      </c>
      <c r="O29" s="42">
        <f t="shared" si="5"/>
        <v>0</v>
      </c>
      <c r="P29" s="42">
        <f t="shared" si="6"/>
        <v>0</v>
      </c>
      <c r="Q29" s="42">
        <f t="shared" si="7"/>
        <v>1</v>
      </c>
      <c r="R29" s="42">
        <f t="shared" si="8"/>
        <v>0</v>
      </c>
      <c r="S29" s="43" t="str">
        <f t="shared" si="9"/>
        <v>Draw</v>
      </c>
      <c r="T29" s="41"/>
      <c r="U29" s="28">
        <f t="shared" si="10"/>
        <v>0</v>
      </c>
      <c r="V29" s="28">
        <f t="shared" ref="V29:W29" si="37">IF($L29=0,"",$I29-$H29)</f>
        <v>0</v>
      </c>
      <c r="W29" s="28">
        <f t="shared" si="37"/>
        <v>0</v>
      </c>
      <c r="X29" s="28">
        <f t="shared" si="12"/>
        <v>0</v>
      </c>
      <c r="Y29" s="28"/>
      <c r="Z29" s="28"/>
    </row>
    <row r="30" ht="15.75" customHeight="1">
      <c r="A30" s="38">
        <v>28.0</v>
      </c>
      <c r="B30" s="39">
        <v>46046.0</v>
      </c>
      <c r="C30" s="40" t="s">
        <v>112</v>
      </c>
      <c r="D30" s="40" t="s">
        <v>101</v>
      </c>
      <c r="E30" s="40">
        <v>3.0</v>
      </c>
      <c r="F30" s="40">
        <v>4.0</v>
      </c>
      <c r="G30" s="41" t="s">
        <v>5</v>
      </c>
      <c r="H30" s="42">
        <f>IF($G30="Walkover_Home",Settings!$B$10,IF($G30="Walkover_Away",Settings!$B$11,IF($G30="Cancelled","",IF($E30="","",$E30))))</f>
        <v>3</v>
      </c>
      <c r="I30" s="42">
        <f>IF($G30="Walkover_Home",Settings!$B$11,IF($G30="Walkover_Away",Settings!$B$10,IF($G30="Cancelled","",IF($F30="","",$F30))))</f>
        <v>4</v>
      </c>
      <c r="J30" s="42">
        <f>IF($L30=0,"",IF($G30="Walkover_Home",Settings!$B$7,IF($G30="Walkover_Away",Settings!$B$8,IF($H30&gt;$I30,Settings!$B$3,IF($H30&lt;$I30,Settings!$B$4,Settings!$B$5)))))</f>
        <v>0</v>
      </c>
      <c r="K30" s="42">
        <f>IF($L30=0,"",IF($G30="Walkover_Home",Settings!$B$8,IF($G30="Walkover_Away",Settings!$B$7,IF($I30&gt;$H30,Settings!$B$3,IF($I30&lt;$H30,Settings!$B$4,Settings!$B$5)))))</f>
        <v>3</v>
      </c>
      <c r="L30" s="42">
        <f t="shared" si="2"/>
        <v>1</v>
      </c>
      <c r="M30" s="42">
        <f t="shared" si="3"/>
        <v>0</v>
      </c>
      <c r="N30" s="42">
        <f t="shared" si="4"/>
        <v>0</v>
      </c>
      <c r="O30" s="42">
        <f t="shared" si="5"/>
        <v>1</v>
      </c>
      <c r="P30" s="42">
        <f t="shared" si="6"/>
        <v>1</v>
      </c>
      <c r="Q30" s="42">
        <f t="shared" si="7"/>
        <v>0</v>
      </c>
      <c r="R30" s="42">
        <f t="shared" si="8"/>
        <v>0</v>
      </c>
      <c r="S30" s="43" t="str">
        <f t="shared" si="9"/>
        <v>WOLEVATION</v>
      </c>
      <c r="T30" s="41"/>
      <c r="U30" s="28">
        <f t="shared" si="10"/>
        <v>-1</v>
      </c>
      <c r="V30" s="28">
        <f t="shared" ref="V30:W30" si="38">IF($L30=0,"",$I30-$H30)</f>
        <v>1</v>
      </c>
      <c r="W30" s="28">
        <f t="shared" si="38"/>
        <v>1</v>
      </c>
      <c r="X30" s="28">
        <f t="shared" si="12"/>
        <v>-1</v>
      </c>
      <c r="Y30" s="28"/>
      <c r="Z30" s="28"/>
    </row>
    <row r="31" ht="15.75" customHeight="1">
      <c r="A31" s="38">
        <v>29.0</v>
      </c>
      <c r="B31" s="39">
        <v>46046.0</v>
      </c>
      <c r="C31" s="40" t="s">
        <v>109</v>
      </c>
      <c r="D31" s="40" t="s">
        <v>106</v>
      </c>
      <c r="E31" s="40">
        <v>7.0</v>
      </c>
      <c r="F31" s="40">
        <v>4.0</v>
      </c>
      <c r="G31" s="41" t="s">
        <v>5</v>
      </c>
      <c r="H31" s="42">
        <f>IF($G31="Walkover_Home",Settings!$B$10,IF($G31="Walkover_Away",Settings!$B$11,IF($G31="Cancelled","",IF($E31="","",$E31))))</f>
        <v>7</v>
      </c>
      <c r="I31" s="42">
        <f>IF($G31="Walkover_Home",Settings!$B$11,IF($G31="Walkover_Away",Settings!$B$10,IF($G31="Cancelled","",IF($F31="","",$F31))))</f>
        <v>4</v>
      </c>
      <c r="J31" s="42">
        <f>IF($L31=0,"",IF($G31="Walkover_Home",Settings!$B$7,IF($G31="Walkover_Away",Settings!$B$8,IF($H31&gt;$I31,Settings!$B$3,IF($H31&lt;$I31,Settings!$B$4,Settings!$B$5)))))</f>
        <v>3</v>
      </c>
      <c r="K31" s="42">
        <f>IF($L31=0,"",IF($G31="Walkover_Home",Settings!$B$8,IF($G31="Walkover_Away",Settings!$B$7,IF($I31&gt;$H31,Settings!$B$3,IF($I31&lt;$H31,Settings!$B$4,Settings!$B$5)))))</f>
        <v>0</v>
      </c>
      <c r="L31" s="42">
        <f t="shared" si="2"/>
        <v>1</v>
      </c>
      <c r="M31" s="42">
        <f t="shared" si="3"/>
        <v>1</v>
      </c>
      <c r="N31" s="42">
        <f t="shared" si="4"/>
        <v>0</v>
      </c>
      <c r="O31" s="42">
        <f t="shared" si="5"/>
        <v>0</v>
      </c>
      <c r="P31" s="42">
        <f t="shared" si="6"/>
        <v>0</v>
      </c>
      <c r="Q31" s="42">
        <f t="shared" si="7"/>
        <v>0</v>
      </c>
      <c r="R31" s="42">
        <f t="shared" si="8"/>
        <v>1</v>
      </c>
      <c r="S31" s="43" t="str">
        <f t="shared" si="9"/>
        <v>DADABOI</v>
      </c>
      <c r="T31" s="41"/>
      <c r="U31" s="28">
        <f t="shared" si="10"/>
        <v>3</v>
      </c>
      <c r="V31" s="28">
        <f t="shared" ref="V31:W31" si="39">IF($L31=0,"",$I31-$H31)</f>
        <v>-3</v>
      </c>
      <c r="W31" s="28">
        <f t="shared" si="39"/>
        <v>-3</v>
      </c>
      <c r="X31" s="28">
        <f t="shared" si="12"/>
        <v>3</v>
      </c>
      <c r="Y31" s="28"/>
      <c r="Z31" s="28"/>
    </row>
    <row r="32" ht="15.75" customHeight="1">
      <c r="A32" s="38">
        <v>30.0</v>
      </c>
      <c r="B32" s="39">
        <v>46046.0</v>
      </c>
      <c r="C32" s="40" t="s">
        <v>114</v>
      </c>
      <c r="D32" s="40" t="s">
        <v>102</v>
      </c>
      <c r="E32" s="40">
        <v>2.0</v>
      </c>
      <c r="F32" s="40">
        <v>1.0</v>
      </c>
      <c r="G32" s="41" t="s">
        <v>5</v>
      </c>
      <c r="H32" s="42">
        <f>IF($G32="Walkover_Home",Settings!$B$10,IF($G32="Walkover_Away",Settings!$B$11,IF($G32="Cancelled","",IF($E32="","",$E32))))</f>
        <v>2</v>
      </c>
      <c r="I32" s="42">
        <f>IF($G32="Walkover_Home",Settings!$B$11,IF($G32="Walkover_Away",Settings!$B$10,IF($G32="Cancelled","",IF($F32="","",$F32))))</f>
        <v>1</v>
      </c>
      <c r="J32" s="42">
        <f>IF($L32=0,"",IF($G32="Walkover_Home",Settings!$B$7,IF($G32="Walkover_Away",Settings!$B$8,IF($H32&gt;$I32,Settings!$B$3,IF($H32&lt;$I32,Settings!$B$4,Settings!$B$5)))))</f>
        <v>3</v>
      </c>
      <c r="K32" s="42">
        <f>IF($L32=0,"",IF($G32="Walkover_Home",Settings!$B$8,IF($G32="Walkover_Away",Settings!$B$7,IF($I32&gt;$H32,Settings!$B$3,IF($I32&lt;$H32,Settings!$B$4,Settings!$B$5)))))</f>
        <v>0</v>
      </c>
      <c r="L32" s="42">
        <f t="shared" si="2"/>
        <v>1</v>
      </c>
      <c r="M32" s="42">
        <f t="shared" si="3"/>
        <v>1</v>
      </c>
      <c r="N32" s="42">
        <f t="shared" si="4"/>
        <v>0</v>
      </c>
      <c r="O32" s="42">
        <f t="shared" si="5"/>
        <v>0</v>
      </c>
      <c r="P32" s="42">
        <f t="shared" si="6"/>
        <v>0</v>
      </c>
      <c r="Q32" s="42">
        <f t="shared" si="7"/>
        <v>0</v>
      </c>
      <c r="R32" s="42">
        <f t="shared" si="8"/>
        <v>1</v>
      </c>
      <c r="S32" s="43" t="str">
        <f t="shared" si="9"/>
        <v>KINGNONEX</v>
      </c>
      <c r="T32" s="41"/>
      <c r="U32" s="28">
        <f t="shared" si="10"/>
        <v>1</v>
      </c>
      <c r="V32" s="28">
        <f t="shared" ref="V32:W32" si="40">IF($L32=0,"",$I32-$H32)</f>
        <v>-1</v>
      </c>
      <c r="W32" s="28">
        <f t="shared" si="40"/>
        <v>-1</v>
      </c>
      <c r="X32" s="28">
        <f t="shared" si="12"/>
        <v>1</v>
      </c>
      <c r="Y32" s="28"/>
      <c r="Z32" s="28"/>
    </row>
    <row r="33" ht="15.75" customHeight="1">
      <c r="A33" s="38">
        <v>31.0</v>
      </c>
      <c r="B33" s="39">
        <v>46046.0</v>
      </c>
      <c r="C33" s="40" t="s">
        <v>111</v>
      </c>
      <c r="D33" s="40" t="s">
        <v>104</v>
      </c>
      <c r="E33" s="40">
        <v>3.0</v>
      </c>
      <c r="F33" s="40">
        <v>3.0</v>
      </c>
      <c r="G33" s="41" t="s">
        <v>5</v>
      </c>
      <c r="H33" s="42">
        <f>IF($G33="Walkover_Home",Settings!$B$10,IF($G33="Walkover_Away",Settings!$B$11,IF($G33="Cancelled","",IF($E33="","",$E33))))</f>
        <v>3</v>
      </c>
      <c r="I33" s="42">
        <f>IF($G33="Walkover_Home",Settings!$B$11,IF($G33="Walkover_Away",Settings!$B$10,IF($G33="Cancelled","",IF($F33="","",$F33))))</f>
        <v>3</v>
      </c>
      <c r="J33" s="42">
        <f>IF($L33=0,"",IF($G33="Walkover_Home",Settings!$B$7,IF($G33="Walkover_Away",Settings!$B$8,IF($H33&gt;$I33,Settings!$B$3,IF($H33&lt;$I33,Settings!$B$4,Settings!$B$5)))))</f>
        <v>1</v>
      </c>
      <c r="K33" s="42">
        <f>IF($L33=0,"",IF($G33="Walkover_Home",Settings!$B$8,IF($G33="Walkover_Away",Settings!$B$7,IF($I33&gt;$H33,Settings!$B$3,IF($I33&lt;$H33,Settings!$B$4,Settings!$B$5)))))</f>
        <v>1</v>
      </c>
      <c r="L33" s="42">
        <f t="shared" si="2"/>
        <v>1</v>
      </c>
      <c r="M33" s="42">
        <f t="shared" si="3"/>
        <v>0</v>
      </c>
      <c r="N33" s="42">
        <f t="shared" si="4"/>
        <v>1</v>
      </c>
      <c r="O33" s="42">
        <f t="shared" si="5"/>
        <v>0</v>
      </c>
      <c r="P33" s="42">
        <f t="shared" si="6"/>
        <v>0</v>
      </c>
      <c r="Q33" s="42">
        <f t="shared" si="7"/>
        <v>1</v>
      </c>
      <c r="R33" s="42">
        <f t="shared" si="8"/>
        <v>0</v>
      </c>
      <c r="S33" s="43" t="str">
        <f t="shared" si="9"/>
        <v>Draw</v>
      </c>
      <c r="T33" s="41"/>
      <c r="U33" s="28">
        <f t="shared" si="10"/>
        <v>0</v>
      </c>
      <c r="V33" s="28">
        <f t="shared" ref="V33:W33" si="41">IF($L33=0,"",$I33-$H33)</f>
        <v>0</v>
      </c>
      <c r="W33" s="28">
        <f t="shared" si="41"/>
        <v>0</v>
      </c>
      <c r="X33" s="28">
        <f t="shared" si="12"/>
        <v>0</v>
      </c>
      <c r="Y33" s="28"/>
      <c r="Z33" s="28"/>
    </row>
    <row r="34" ht="15.75" customHeight="1">
      <c r="A34" s="38">
        <v>32.0</v>
      </c>
      <c r="B34" s="39">
        <v>46046.0</v>
      </c>
      <c r="C34" s="40" t="s">
        <v>110</v>
      </c>
      <c r="D34" s="40" t="s">
        <v>98</v>
      </c>
      <c r="E34" s="40">
        <v>2.0</v>
      </c>
      <c r="F34" s="40">
        <v>7.0</v>
      </c>
      <c r="G34" s="41" t="s">
        <v>5</v>
      </c>
      <c r="H34" s="42">
        <f>IF($G34="Walkover_Home",Settings!$B$10,IF($G34="Walkover_Away",Settings!$B$11,IF($G34="Cancelled","",IF($E34="","",$E34))))</f>
        <v>2</v>
      </c>
      <c r="I34" s="42">
        <f>IF($G34="Walkover_Home",Settings!$B$11,IF($G34="Walkover_Away",Settings!$B$10,IF($G34="Cancelled","",IF($F34="","",$F34))))</f>
        <v>7</v>
      </c>
      <c r="J34" s="42">
        <f>IF($L34=0,"",IF($G34="Walkover_Home",Settings!$B$7,IF($G34="Walkover_Away",Settings!$B$8,IF($H34&gt;$I34,Settings!$B$3,IF($H34&lt;$I34,Settings!$B$4,Settings!$B$5)))))</f>
        <v>0</v>
      </c>
      <c r="K34" s="42">
        <f>IF($L34=0,"",IF($G34="Walkover_Home",Settings!$B$8,IF($G34="Walkover_Away",Settings!$B$7,IF($I34&gt;$H34,Settings!$B$3,IF($I34&lt;$H34,Settings!$B$4,Settings!$B$5)))))</f>
        <v>3</v>
      </c>
      <c r="L34" s="42">
        <f t="shared" si="2"/>
        <v>1</v>
      </c>
      <c r="M34" s="42">
        <f t="shared" si="3"/>
        <v>0</v>
      </c>
      <c r="N34" s="42">
        <f t="shared" si="4"/>
        <v>0</v>
      </c>
      <c r="O34" s="42">
        <f t="shared" si="5"/>
        <v>1</v>
      </c>
      <c r="P34" s="42">
        <f t="shared" si="6"/>
        <v>1</v>
      </c>
      <c r="Q34" s="42">
        <f t="shared" si="7"/>
        <v>0</v>
      </c>
      <c r="R34" s="42">
        <f t="shared" si="8"/>
        <v>0</v>
      </c>
      <c r="S34" s="43" t="str">
        <f t="shared" si="9"/>
        <v>GURU</v>
      </c>
      <c r="T34" s="41"/>
      <c r="U34" s="28">
        <f t="shared" si="10"/>
        <v>-5</v>
      </c>
      <c r="V34" s="28">
        <f t="shared" ref="V34:W34" si="42">IF($L34=0,"",$I34-$H34)</f>
        <v>5</v>
      </c>
      <c r="W34" s="28">
        <f t="shared" si="42"/>
        <v>5</v>
      </c>
      <c r="X34" s="28">
        <f t="shared" si="12"/>
        <v>-5</v>
      </c>
      <c r="Y34" s="28"/>
      <c r="Z34" s="28"/>
    </row>
    <row r="35" ht="15.75" customHeight="1">
      <c r="A35" s="38">
        <v>33.0</v>
      </c>
      <c r="B35" s="39">
        <v>46046.0</v>
      </c>
      <c r="C35" s="40" t="s">
        <v>100</v>
      </c>
      <c r="D35" s="40" t="s">
        <v>103</v>
      </c>
      <c r="E35" s="40">
        <v>3.0</v>
      </c>
      <c r="F35" s="40">
        <v>2.0</v>
      </c>
      <c r="G35" s="41" t="s">
        <v>5</v>
      </c>
      <c r="H35" s="42">
        <f>IF($G35="Walkover_Home",Settings!$B$10,IF($G35="Walkover_Away",Settings!$B$11,IF($G35="Cancelled","",IF($E35="","",$E35))))</f>
        <v>3</v>
      </c>
      <c r="I35" s="42">
        <f>IF($G35="Walkover_Home",Settings!$B$11,IF($G35="Walkover_Away",Settings!$B$10,IF($G35="Cancelled","",IF($F35="","",$F35))))</f>
        <v>2</v>
      </c>
      <c r="J35" s="42">
        <f>IF($L35=0,"",IF($G35="Walkover_Home",Settings!$B$7,IF($G35="Walkover_Away",Settings!$B$8,IF($H35&gt;$I35,Settings!$B$3,IF($H35&lt;$I35,Settings!$B$4,Settings!$B$5)))))</f>
        <v>3</v>
      </c>
      <c r="K35" s="42">
        <f>IF($L35=0,"",IF($G35="Walkover_Home",Settings!$B$8,IF($G35="Walkover_Away",Settings!$B$7,IF($I35&gt;$H35,Settings!$B$3,IF($I35&lt;$H35,Settings!$B$4,Settings!$B$5)))))</f>
        <v>0</v>
      </c>
      <c r="L35" s="42">
        <f t="shared" si="2"/>
        <v>1</v>
      </c>
      <c r="M35" s="42">
        <f t="shared" si="3"/>
        <v>1</v>
      </c>
      <c r="N35" s="42">
        <f t="shared" si="4"/>
        <v>0</v>
      </c>
      <c r="O35" s="42">
        <f t="shared" si="5"/>
        <v>0</v>
      </c>
      <c r="P35" s="42">
        <f t="shared" si="6"/>
        <v>0</v>
      </c>
      <c r="Q35" s="42">
        <f t="shared" si="7"/>
        <v>0</v>
      </c>
      <c r="R35" s="42">
        <f t="shared" si="8"/>
        <v>1</v>
      </c>
      <c r="S35" s="43" t="str">
        <f t="shared" si="9"/>
        <v>TACTICAL</v>
      </c>
      <c r="T35" s="41"/>
      <c r="U35" s="28">
        <f t="shared" si="10"/>
        <v>1</v>
      </c>
      <c r="V35" s="28">
        <f t="shared" ref="V35:W35" si="43">IF($L35=0,"",$I35-$H35)</f>
        <v>-1</v>
      </c>
      <c r="W35" s="28">
        <f t="shared" si="43"/>
        <v>-1</v>
      </c>
      <c r="X35" s="28">
        <f t="shared" si="12"/>
        <v>1</v>
      </c>
      <c r="Y35" s="28"/>
      <c r="Z35" s="28"/>
    </row>
    <row r="36" ht="15.75" customHeight="1">
      <c r="A36" s="38">
        <v>34.0</v>
      </c>
      <c r="B36" s="39">
        <v>46046.0</v>
      </c>
      <c r="C36" s="40" t="s">
        <v>108</v>
      </c>
      <c r="D36" s="40" t="s">
        <v>109</v>
      </c>
      <c r="E36" s="40">
        <v>4.0</v>
      </c>
      <c r="F36" s="40">
        <v>5.0</v>
      </c>
      <c r="G36" s="41" t="s">
        <v>5</v>
      </c>
      <c r="H36" s="42">
        <f>IF($G36="Walkover_Home",Settings!$B$10,IF($G36="Walkover_Away",Settings!$B$11,IF($G36="Cancelled","",IF($E36="","",$E36))))</f>
        <v>4</v>
      </c>
      <c r="I36" s="42">
        <f>IF($G36="Walkover_Home",Settings!$B$11,IF($G36="Walkover_Away",Settings!$B$10,IF($G36="Cancelled","",IF($F36="","",$F36))))</f>
        <v>5</v>
      </c>
      <c r="J36" s="42">
        <f>IF($L36=0,"",IF($G36="Walkover_Home",Settings!$B$7,IF($G36="Walkover_Away",Settings!$B$8,IF($H36&gt;$I36,Settings!$B$3,IF($H36&lt;$I36,Settings!$B$4,Settings!$B$5)))))</f>
        <v>0</v>
      </c>
      <c r="K36" s="42">
        <f>IF($L36=0,"",IF($G36="Walkover_Home",Settings!$B$8,IF($G36="Walkover_Away",Settings!$B$7,IF($I36&gt;$H36,Settings!$B$3,IF($I36&lt;$H36,Settings!$B$4,Settings!$B$5)))))</f>
        <v>3</v>
      </c>
      <c r="L36" s="42">
        <f t="shared" si="2"/>
        <v>1</v>
      </c>
      <c r="M36" s="42">
        <f t="shared" si="3"/>
        <v>0</v>
      </c>
      <c r="N36" s="42">
        <f t="shared" si="4"/>
        <v>0</v>
      </c>
      <c r="O36" s="42">
        <f t="shared" si="5"/>
        <v>1</v>
      </c>
      <c r="P36" s="42">
        <f t="shared" si="6"/>
        <v>1</v>
      </c>
      <c r="Q36" s="42">
        <f t="shared" si="7"/>
        <v>0</v>
      </c>
      <c r="R36" s="42">
        <f t="shared" si="8"/>
        <v>0</v>
      </c>
      <c r="S36" s="43" t="str">
        <f t="shared" si="9"/>
        <v>DADABOI</v>
      </c>
      <c r="T36" s="41"/>
      <c r="U36" s="28">
        <f t="shared" si="10"/>
        <v>-1</v>
      </c>
      <c r="V36" s="28">
        <f t="shared" ref="V36:W36" si="44">IF($L36=0,"",$I36-$H36)</f>
        <v>1</v>
      </c>
      <c r="W36" s="28">
        <f t="shared" si="44"/>
        <v>1</v>
      </c>
      <c r="X36" s="28">
        <f t="shared" si="12"/>
        <v>-1</v>
      </c>
      <c r="Y36" s="28"/>
      <c r="Z36" s="28"/>
    </row>
    <row r="37" ht="15.75" customHeight="1">
      <c r="A37" s="38">
        <v>35.0</v>
      </c>
      <c r="B37" s="39">
        <v>46046.0</v>
      </c>
      <c r="C37" s="40" t="s">
        <v>107</v>
      </c>
      <c r="D37" s="40" t="s">
        <v>97</v>
      </c>
      <c r="E37" s="40">
        <v>6.0</v>
      </c>
      <c r="F37" s="40">
        <v>3.0</v>
      </c>
      <c r="G37" s="41" t="s">
        <v>5</v>
      </c>
      <c r="H37" s="42">
        <f>IF($G37="Walkover_Home",Settings!$B$10,IF($G37="Walkover_Away",Settings!$B$11,IF($G37="Cancelled","",IF($E37="","",$E37))))</f>
        <v>6</v>
      </c>
      <c r="I37" s="42">
        <f>IF($G37="Walkover_Home",Settings!$B$11,IF($G37="Walkover_Away",Settings!$B$10,IF($G37="Cancelled","",IF($F37="","",$F37))))</f>
        <v>3</v>
      </c>
      <c r="J37" s="42">
        <f>IF($L37=0,"",IF($G37="Walkover_Home",Settings!$B$7,IF($G37="Walkover_Away",Settings!$B$8,IF($H37&gt;$I37,Settings!$B$3,IF($H37&lt;$I37,Settings!$B$4,Settings!$B$5)))))</f>
        <v>3</v>
      </c>
      <c r="K37" s="42">
        <f>IF($L37=0,"",IF($G37="Walkover_Home",Settings!$B$8,IF($G37="Walkover_Away",Settings!$B$7,IF($I37&gt;$H37,Settings!$B$3,IF($I37&lt;$H37,Settings!$B$4,Settings!$B$5)))))</f>
        <v>0</v>
      </c>
      <c r="L37" s="42">
        <f t="shared" si="2"/>
        <v>1</v>
      </c>
      <c r="M37" s="42">
        <f t="shared" si="3"/>
        <v>1</v>
      </c>
      <c r="N37" s="42">
        <f t="shared" si="4"/>
        <v>0</v>
      </c>
      <c r="O37" s="42">
        <f t="shared" si="5"/>
        <v>0</v>
      </c>
      <c r="P37" s="42">
        <f t="shared" si="6"/>
        <v>0</v>
      </c>
      <c r="Q37" s="42">
        <f t="shared" si="7"/>
        <v>0</v>
      </c>
      <c r="R37" s="42">
        <f t="shared" si="8"/>
        <v>1</v>
      </c>
      <c r="S37" s="43" t="str">
        <f t="shared" si="9"/>
        <v>BLAISE99</v>
      </c>
      <c r="T37" s="41"/>
      <c r="U37" s="28">
        <f t="shared" si="10"/>
        <v>3</v>
      </c>
      <c r="V37" s="28">
        <f t="shared" ref="V37:W37" si="45">IF($L37=0,"",$I37-$H37)</f>
        <v>-3</v>
      </c>
      <c r="W37" s="28">
        <f t="shared" si="45"/>
        <v>-3</v>
      </c>
      <c r="X37" s="28">
        <f t="shared" si="12"/>
        <v>3</v>
      </c>
      <c r="Y37" s="28"/>
      <c r="Z37" s="28"/>
    </row>
    <row r="38" ht="15.75" customHeight="1">
      <c r="A38" s="38">
        <v>36.0</v>
      </c>
      <c r="B38" s="39">
        <v>46046.0</v>
      </c>
      <c r="C38" s="40" t="s">
        <v>101</v>
      </c>
      <c r="D38" s="40" t="s">
        <v>111</v>
      </c>
      <c r="E38" s="40">
        <v>4.0</v>
      </c>
      <c r="F38" s="40">
        <v>3.0</v>
      </c>
      <c r="G38" s="41" t="s">
        <v>5</v>
      </c>
      <c r="H38" s="42">
        <f>IF($G38="Walkover_Home",Settings!$B$10,IF($G38="Walkover_Away",Settings!$B$11,IF($G38="Cancelled","",IF($E38="","",$E38))))</f>
        <v>4</v>
      </c>
      <c r="I38" s="42">
        <f>IF($G38="Walkover_Home",Settings!$B$11,IF($G38="Walkover_Away",Settings!$B$10,IF($G38="Cancelled","",IF($F38="","",$F38))))</f>
        <v>3</v>
      </c>
      <c r="J38" s="42">
        <f>IF($L38=0,"",IF($G38="Walkover_Home",Settings!$B$7,IF($G38="Walkover_Away",Settings!$B$8,IF($H38&gt;$I38,Settings!$B$3,IF($H38&lt;$I38,Settings!$B$4,Settings!$B$5)))))</f>
        <v>3</v>
      </c>
      <c r="K38" s="42">
        <f>IF($L38=0,"",IF($G38="Walkover_Home",Settings!$B$8,IF($G38="Walkover_Away",Settings!$B$7,IF($I38&gt;$H38,Settings!$B$3,IF($I38&lt;$H38,Settings!$B$4,Settings!$B$5)))))</f>
        <v>0</v>
      </c>
      <c r="L38" s="42">
        <f t="shared" si="2"/>
        <v>1</v>
      </c>
      <c r="M38" s="42">
        <f t="shared" si="3"/>
        <v>1</v>
      </c>
      <c r="N38" s="42">
        <f t="shared" si="4"/>
        <v>0</v>
      </c>
      <c r="O38" s="42">
        <f t="shared" si="5"/>
        <v>0</v>
      </c>
      <c r="P38" s="42">
        <f t="shared" si="6"/>
        <v>0</v>
      </c>
      <c r="Q38" s="42">
        <f t="shared" si="7"/>
        <v>0</v>
      </c>
      <c r="R38" s="42">
        <f t="shared" si="8"/>
        <v>1</v>
      </c>
      <c r="S38" s="43" t="str">
        <f t="shared" si="9"/>
        <v>WOLEVATION</v>
      </c>
      <c r="T38" s="41"/>
      <c r="U38" s="28">
        <f t="shared" si="10"/>
        <v>1</v>
      </c>
      <c r="V38" s="28">
        <f t="shared" ref="V38:W38" si="46">IF($L38=0,"",$I38-$H38)</f>
        <v>-1</v>
      </c>
      <c r="W38" s="28">
        <f t="shared" si="46"/>
        <v>-1</v>
      </c>
      <c r="X38" s="28">
        <f t="shared" si="12"/>
        <v>1</v>
      </c>
      <c r="Y38" s="28"/>
      <c r="Z38" s="28"/>
    </row>
    <row r="39" ht="15.75" customHeight="1">
      <c r="A39" s="38">
        <v>37.0</v>
      </c>
      <c r="B39" s="39">
        <v>46046.0</v>
      </c>
      <c r="C39" s="40" t="s">
        <v>96</v>
      </c>
      <c r="D39" s="40" t="s">
        <v>113</v>
      </c>
      <c r="E39" s="40">
        <v>6.0</v>
      </c>
      <c r="F39" s="40">
        <v>3.0</v>
      </c>
      <c r="G39" s="41" t="s">
        <v>5</v>
      </c>
      <c r="H39" s="42">
        <f>IF($G39="Walkover_Home",Settings!$B$10,IF($G39="Walkover_Away",Settings!$B$11,IF($G39="Cancelled","",IF($E39="","",$E39))))</f>
        <v>6</v>
      </c>
      <c r="I39" s="42">
        <f>IF($G39="Walkover_Home",Settings!$B$11,IF($G39="Walkover_Away",Settings!$B$10,IF($G39="Cancelled","",IF($F39="","",$F39))))</f>
        <v>3</v>
      </c>
      <c r="J39" s="42">
        <f>IF($L39=0,"",IF($G39="Walkover_Home",Settings!$B$7,IF($G39="Walkover_Away",Settings!$B$8,IF($H39&gt;$I39,Settings!$B$3,IF($H39&lt;$I39,Settings!$B$4,Settings!$B$5)))))</f>
        <v>3</v>
      </c>
      <c r="K39" s="42">
        <f>IF($L39=0,"",IF($G39="Walkover_Home",Settings!$B$8,IF($G39="Walkover_Away",Settings!$B$7,IF($I39&gt;$H39,Settings!$B$3,IF($I39&lt;$H39,Settings!$B$4,Settings!$B$5)))))</f>
        <v>0</v>
      </c>
      <c r="L39" s="42">
        <f t="shared" si="2"/>
        <v>1</v>
      </c>
      <c r="M39" s="42">
        <f t="shared" si="3"/>
        <v>1</v>
      </c>
      <c r="N39" s="42">
        <f t="shared" si="4"/>
        <v>0</v>
      </c>
      <c r="O39" s="42">
        <f t="shared" si="5"/>
        <v>0</v>
      </c>
      <c r="P39" s="42">
        <f t="shared" si="6"/>
        <v>0</v>
      </c>
      <c r="Q39" s="42">
        <f t="shared" si="7"/>
        <v>0</v>
      </c>
      <c r="R39" s="42">
        <f t="shared" si="8"/>
        <v>1</v>
      </c>
      <c r="S39" s="43" t="str">
        <f t="shared" si="9"/>
        <v>ANIFE</v>
      </c>
      <c r="T39" s="41"/>
      <c r="U39" s="28">
        <f t="shared" si="10"/>
        <v>3</v>
      </c>
      <c r="V39" s="28">
        <f t="shared" ref="V39:W39" si="47">IF($L39=0,"",$I39-$H39)</f>
        <v>-3</v>
      </c>
      <c r="W39" s="28">
        <f t="shared" si="47"/>
        <v>-3</v>
      </c>
      <c r="X39" s="28">
        <f t="shared" si="12"/>
        <v>3</v>
      </c>
      <c r="Y39" s="28"/>
      <c r="Z39" s="28"/>
    </row>
    <row r="40" ht="15.75" customHeight="1">
      <c r="A40" s="38">
        <v>38.0</v>
      </c>
      <c r="B40" s="39">
        <v>46046.0</v>
      </c>
      <c r="C40" s="40" t="s">
        <v>106</v>
      </c>
      <c r="D40" s="40" t="s">
        <v>99</v>
      </c>
      <c r="E40" s="41"/>
      <c r="F40" s="41"/>
      <c r="G40" s="40" t="s">
        <v>90</v>
      </c>
      <c r="H40" s="42">
        <f>IF($G40="Walkover_Home",Settings!$B$10,IF($G40="Walkover_Away",Settings!$B$11,IF($G40="Cancelled","",IF($E40="","",$E40))))</f>
        <v>0</v>
      </c>
      <c r="I40" s="42">
        <f>IF($G40="Walkover_Home",Settings!$B$11,IF($G40="Walkover_Away",Settings!$B$10,IF($G40="Cancelled","",IF($F40="","",$F40))))</f>
        <v>3</v>
      </c>
      <c r="J40" s="42">
        <f>IF($L40=0,"",IF($G40="Walkover_Home",Settings!$B$7,IF($G40="Walkover_Away",Settings!$B$8,IF($H40&gt;$I40,Settings!$B$3,IF($H40&lt;$I40,Settings!$B$4,Settings!$B$5)))))</f>
        <v>0</v>
      </c>
      <c r="K40" s="42">
        <f>IF($L40=0,"",IF($G40="Walkover_Home",Settings!$B$8,IF($G40="Walkover_Away",Settings!$B$7,IF($I40&gt;$H40,Settings!$B$3,IF($I40&lt;$H40,Settings!$B$4,Settings!$B$5)))))</f>
        <v>3</v>
      </c>
      <c r="L40" s="42">
        <f t="shared" si="2"/>
        <v>1</v>
      </c>
      <c r="M40" s="42">
        <f t="shared" si="3"/>
        <v>0</v>
      </c>
      <c r="N40" s="42">
        <f t="shared" si="4"/>
        <v>0</v>
      </c>
      <c r="O40" s="42">
        <f t="shared" si="5"/>
        <v>1</v>
      </c>
      <c r="P40" s="42">
        <f t="shared" si="6"/>
        <v>1</v>
      </c>
      <c r="Q40" s="42">
        <f t="shared" si="7"/>
        <v>0</v>
      </c>
      <c r="R40" s="42">
        <f t="shared" si="8"/>
        <v>0</v>
      </c>
      <c r="S40" s="43" t="str">
        <f t="shared" si="9"/>
        <v>KAYKAY</v>
      </c>
      <c r="T40" s="41"/>
      <c r="U40" s="28">
        <f t="shared" si="10"/>
        <v>-3</v>
      </c>
      <c r="V40" s="28">
        <f t="shared" ref="V40:W40" si="48">IF($L40=0,"",$I40-$H40)</f>
        <v>3</v>
      </c>
      <c r="W40" s="28">
        <f t="shared" si="48"/>
        <v>3</v>
      </c>
      <c r="X40" s="28">
        <f t="shared" si="12"/>
        <v>-3</v>
      </c>
      <c r="Y40" s="28"/>
      <c r="Z40" s="28"/>
    </row>
    <row r="41" ht="15.75" customHeight="1">
      <c r="A41" s="38">
        <v>39.0</v>
      </c>
      <c r="B41" s="39">
        <v>46046.0</v>
      </c>
      <c r="C41" s="40" t="s">
        <v>102</v>
      </c>
      <c r="D41" s="40" t="s">
        <v>110</v>
      </c>
      <c r="E41" s="40">
        <v>6.0</v>
      </c>
      <c r="F41" s="40">
        <v>6.0</v>
      </c>
      <c r="G41" s="41" t="s">
        <v>5</v>
      </c>
      <c r="H41" s="42">
        <f>IF($G41="Walkover_Home",Settings!$B$10,IF($G41="Walkover_Away",Settings!$B$11,IF($G41="Cancelled","",IF($E41="","",$E41))))</f>
        <v>6</v>
      </c>
      <c r="I41" s="42">
        <f>IF($G41="Walkover_Home",Settings!$B$11,IF($G41="Walkover_Away",Settings!$B$10,IF($G41="Cancelled","",IF($F41="","",$F41))))</f>
        <v>6</v>
      </c>
      <c r="J41" s="42">
        <f>IF($L41=0,"",IF($G41="Walkover_Home",Settings!$B$7,IF($G41="Walkover_Away",Settings!$B$8,IF($H41&gt;$I41,Settings!$B$3,IF($H41&lt;$I41,Settings!$B$4,Settings!$B$5)))))</f>
        <v>1</v>
      </c>
      <c r="K41" s="42">
        <f>IF($L41=0,"",IF($G41="Walkover_Home",Settings!$B$8,IF($G41="Walkover_Away",Settings!$B$7,IF($I41&gt;$H41,Settings!$B$3,IF($I41&lt;$H41,Settings!$B$4,Settings!$B$5)))))</f>
        <v>1</v>
      </c>
      <c r="L41" s="42">
        <f t="shared" si="2"/>
        <v>1</v>
      </c>
      <c r="M41" s="42">
        <f t="shared" si="3"/>
        <v>0</v>
      </c>
      <c r="N41" s="42">
        <f t="shared" si="4"/>
        <v>1</v>
      </c>
      <c r="O41" s="42">
        <f t="shared" si="5"/>
        <v>0</v>
      </c>
      <c r="P41" s="42">
        <f t="shared" si="6"/>
        <v>0</v>
      </c>
      <c r="Q41" s="42">
        <f t="shared" si="7"/>
        <v>1</v>
      </c>
      <c r="R41" s="42">
        <f t="shared" si="8"/>
        <v>0</v>
      </c>
      <c r="S41" s="43" t="str">
        <f t="shared" si="9"/>
        <v>Draw</v>
      </c>
      <c r="T41" s="41"/>
      <c r="U41" s="28">
        <f t="shared" si="10"/>
        <v>0</v>
      </c>
      <c r="V41" s="28">
        <f t="shared" ref="V41:W41" si="49">IF($L41=0,"",$I41-$H41)</f>
        <v>0</v>
      </c>
      <c r="W41" s="28">
        <f t="shared" si="49"/>
        <v>0</v>
      </c>
      <c r="X41" s="28">
        <f t="shared" si="12"/>
        <v>0</v>
      </c>
      <c r="Y41" s="28"/>
      <c r="Z41" s="28"/>
    </row>
    <row r="42" ht="15.75" customHeight="1">
      <c r="A42" s="38">
        <v>40.0</v>
      </c>
      <c r="B42" s="39">
        <v>46046.0</v>
      </c>
      <c r="C42" s="40" t="s">
        <v>104</v>
      </c>
      <c r="D42" s="40" t="s">
        <v>112</v>
      </c>
      <c r="E42" s="40">
        <v>4.0</v>
      </c>
      <c r="F42" s="40">
        <v>4.0</v>
      </c>
      <c r="G42" s="41" t="s">
        <v>5</v>
      </c>
      <c r="H42" s="42">
        <f>IF($G42="Walkover_Home",Settings!$B$10,IF($G42="Walkover_Away",Settings!$B$11,IF($G42="Cancelled","",IF($E42="","",$E42))))</f>
        <v>4</v>
      </c>
      <c r="I42" s="42">
        <f>IF($G42="Walkover_Home",Settings!$B$11,IF($G42="Walkover_Away",Settings!$B$10,IF($G42="Cancelled","",IF($F42="","",$F42))))</f>
        <v>4</v>
      </c>
      <c r="J42" s="42">
        <f>IF($L42=0,"",IF($G42="Walkover_Home",Settings!$B$7,IF($G42="Walkover_Away",Settings!$B$8,IF($H42&gt;$I42,Settings!$B$3,IF($H42&lt;$I42,Settings!$B$4,Settings!$B$5)))))</f>
        <v>1</v>
      </c>
      <c r="K42" s="42">
        <f>IF($L42=0,"",IF($G42="Walkover_Home",Settings!$B$8,IF($G42="Walkover_Away",Settings!$B$7,IF($I42&gt;$H42,Settings!$B$3,IF($I42&lt;$H42,Settings!$B$4,Settings!$B$5)))))</f>
        <v>1</v>
      </c>
      <c r="L42" s="42">
        <f t="shared" si="2"/>
        <v>1</v>
      </c>
      <c r="M42" s="42">
        <f t="shared" si="3"/>
        <v>0</v>
      </c>
      <c r="N42" s="42">
        <f t="shared" si="4"/>
        <v>1</v>
      </c>
      <c r="O42" s="42">
        <f t="shared" si="5"/>
        <v>0</v>
      </c>
      <c r="P42" s="42">
        <f t="shared" si="6"/>
        <v>0</v>
      </c>
      <c r="Q42" s="42">
        <f t="shared" si="7"/>
        <v>1</v>
      </c>
      <c r="R42" s="42">
        <f t="shared" si="8"/>
        <v>0</v>
      </c>
      <c r="S42" s="43" t="str">
        <f t="shared" si="9"/>
        <v>Draw</v>
      </c>
      <c r="T42" s="41"/>
      <c r="U42" s="28">
        <f t="shared" si="10"/>
        <v>0</v>
      </c>
      <c r="V42" s="28">
        <f t="shared" ref="V42:W42" si="50">IF($L42=0,"",$I42-$H42)</f>
        <v>0</v>
      </c>
      <c r="W42" s="28">
        <f t="shared" si="50"/>
        <v>0</v>
      </c>
      <c r="X42" s="28">
        <f t="shared" si="12"/>
        <v>0</v>
      </c>
      <c r="Y42" s="28"/>
      <c r="Z42" s="28"/>
    </row>
    <row r="43" ht="15.75" customHeight="1">
      <c r="A43" s="38">
        <v>41.0</v>
      </c>
      <c r="B43" s="39">
        <v>46047.0</v>
      </c>
      <c r="C43" s="40" t="s">
        <v>105</v>
      </c>
      <c r="D43" s="40" t="s">
        <v>108</v>
      </c>
      <c r="E43" s="40">
        <v>3.0</v>
      </c>
      <c r="F43" s="40">
        <v>5.0</v>
      </c>
      <c r="G43" s="41" t="s">
        <v>5</v>
      </c>
      <c r="H43" s="42">
        <f>IF($G43="Walkover_Home",Settings!$B$10,IF($G43="Walkover_Away",Settings!$B$11,IF($G43="Cancelled","",IF($E43="","",$E43))))</f>
        <v>3</v>
      </c>
      <c r="I43" s="42">
        <f>IF($G43="Walkover_Home",Settings!$B$11,IF($G43="Walkover_Away",Settings!$B$10,IF($G43="Cancelled","",IF($F43="","",$F43))))</f>
        <v>5</v>
      </c>
      <c r="J43" s="42">
        <f>IF($L43=0,"",IF($G43="Walkover_Home",Settings!$B$7,IF($G43="Walkover_Away",Settings!$B$8,IF($H43&gt;$I43,Settings!$B$3,IF($H43&lt;$I43,Settings!$B$4,Settings!$B$5)))))</f>
        <v>0</v>
      </c>
      <c r="K43" s="42">
        <f>IF($L43=0,"",IF($G43="Walkover_Home",Settings!$B$8,IF($G43="Walkover_Away",Settings!$B$7,IF($I43&gt;$H43,Settings!$B$3,IF($I43&lt;$H43,Settings!$B$4,Settings!$B$5)))))</f>
        <v>3</v>
      </c>
      <c r="L43" s="42">
        <f t="shared" si="2"/>
        <v>1</v>
      </c>
      <c r="M43" s="42">
        <f t="shared" si="3"/>
        <v>0</v>
      </c>
      <c r="N43" s="42">
        <f t="shared" si="4"/>
        <v>0</v>
      </c>
      <c r="O43" s="42">
        <f t="shared" si="5"/>
        <v>1</v>
      </c>
      <c r="P43" s="42">
        <f t="shared" si="6"/>
        <v>1</v>
      </c>
      <c r="Q43" s="42">
        <f t="shared" si="7"/>
        <v>0</v>
      </c>
      <c r="R43" s="42">
        <f t="shared" si="8"/>
        <v>0</v>
      </c>
      <c r="S43" s="43" t="str">
        <f t="shared" si="9"/>
        <v>GAMEWITHJOSH</v>
      </c>
      <c r="T43" s="41"/>
      <c r="U43" s="28">
        <f t="shared" si="10"/>
        <v>-2</v>
      </c>
      <c r="V43" s="28">
        <f t="shared" ref="V43:W43" si="51">IF($L43=0,"",$I43-$H43)</f>
        <v>2</v>
      </c>
      <c r="W43" s="28">
        <f t="shared" si="51"/>
        <v>2</v>
      </c>
      <c r="X43" s="28">
        <f t="shared" si="12"/>
        <v>-2</v>
      </c>
      <c r="Y43" s="28"/>
      <c r="Z43" s="28"/>
    </row>
    <row r="44" ht="15.75" customHeight="1">
      <c r="A44" s="38">
        <v>42.0</v>
      </c>
      <c r="B44" s="39">
        <v>46047.0</v>
      </c>
      <c r="C44" s="40" t="s">
        <v>106</v>
      </c>
      <c r="D44" s="40" t="s">
        <v>95</v>
      </c>
      <c r="E44" s="40">
        <v>3.0</v>
      </c>
      <c r="F44" s="40">
        <v>6.0</v>
      </c>
      <c r="G44" s="41" t="s">
        <v>5</v>
      </c>
      <c r="H44" s="42">
        <f>IF($G44="Walkover_Home",Settings!$B$10,IF($G44="Walkover_Away",Settings!$B$11,IF($G44="Cancelled","",IF($E44="","",$E44))))</f>
        <v>3</v>
      </c>
      <c r="I44" s="42">
        <f>IF($G44="Walkover_Home",Settings!$B$11,IF($G44="Walkover_Away",Settings!$B$10,IF($G44="Cancelled","",IF($F44="","",$F44))))</f>
        <v>6</v>
      </c>
      <c r="J44" s="42">
        <f>IF($L44=0,"",IF($G44="Walkover_Home",Settings!$B$7,IF($G44="Walkover_Away",Settings!$B$8,IF($H44&gt;$I44,Settings!$B$3,IF($H44&lt;$I44,Settings!$B$4,Settings!$B$5)))))</f>
        <v>0</v>
      </c>
      <c r="K44" s="42">
        <f>IF($L44=0,"",IF($G44="Walkover_Home",Settings!$B$8,IF($G44="Walkover_Away",Settings!$B$7,IF($I44&gt;$H44,Settings!$B$3,IF($I44&lt;$H44,Settings!$B$4,Settings!$B$5)))))</f>
        <v>3</v>
      </c>
      <c r="L44" s="42">
        <f t="shared" si="2"/>
        <v>1</v>
      </c>
      <c r="M44" s="42">
        <f t="shared" si="3"/>
        <v>0</v>
      </c>
      <c r="N44" s="42">
        <f t="shared" si="4"/>
        <v>0</v>
      </c>
      <c r="O44" s="42">
        <f t="shared" si="5"/>
        <v>1</v>
      </c>
      <c r="P44" s="42">
        <f t="shared" si="6"/>
        <v>1</v>
      </c>
      <c r="Q44" s="42">
        <f t="shared" si="7"/>
        <v>0</v>
      </c>
      <c r="R44" s="42">
        <f t="shared" si="8"/>
        <v>0</v>
      </c>
      <c r="S44" s="43" t="str">
        <f t="shared" si="9"/>
        <v>MR OGA</v>
      </c>
      <c r="T44" s="41"/>
      <c r="U44" s="28">
        <f t="shared" si="10"/>
        <v>-3</v>
      </c>
      <c r="V44" s="28">
        <f t="shared" ref="V44:W44" si="52">IF($L44=0,"",$I44-$H44)</f>
        <v>3</v>
      </c>
      <c r="W44" s="28">
        <f t="shared" si="52"/>
        <v>3</v>
      </c>
      <c r="X44" s="28">
        <f t="shared" si="12"/>
        <v>-3</v>
      </c>
      <c r="Y44" s="28"/>
      <c r="Z44" s="28"/>
    </row>
    <row r="45" ht="15.75" customHeight="1">
      <c r="A45" s="38">
        <v>43.0</v>
      </c>
      <c r="B45" s="39">
        <v>46047.0</v>
      </c>
      <c r="C45" s="40" t="s">
        <v>104</v>
      </c>
      <c r="D45" s="40" t="s">
        <v>109</v>
      </c>
      <c r="E45" s="40">
        <v>7.0</v>
      </c>
      <c r="F45" s="40">
        <v>3.0</v>
      </c>
      <c r="G45" s="41" t="s">
        <v>5</v>
      </c>
      <c r="H45" s="42">
        <f>IF($G45="Walkover_Home",Settings!$B$10,IF($G45="Walkover_Away",Settings!$B$11,IF($G45="Cancelled","",IF($E45="","",$E45))))</f>
        <v>7</v>
      </c>
      <c r="I45" s="42">
        <f>IF($G45="Walkover_Home",Settings!$B$11,IF($G45="Walkover_Away",Settings!$B$10,IF($G45="Cancelled","",IF($F45="","",$F45))))</f>
        <v>3</v>
      </c>
      <c r="J45" s="42">
        <f>IF($L45=0,"",IF($G45="Walkover_Home",Settings!$B$7,IF($G45="Walkover_Away",Settings!$B$8,IF($H45&gt;$I45,Settings!$B$3,IF($H45&lt;$I45,Settings!$B$4,Settings!$B$5)))))</f>
        <v>3</v>
      </c>
      <c r="K45" s="42">
        <f>IF($L45=0,"",IF($G45="Walkover_Home",Settings!$B$8,IF($G45="Walkover_Away",Settings!$B$7,IF($I45&gt;$H45,Settings!$B$3,IF($I45&lt;$H45,Settings!$B$4,Settings!$B$5)))))</f>
        <v>0</v>
      </c>
      <c r="L45" s="42">
        <f t="shared" si="2"/>
        <v>1</v>
      </c>
      <c r="M45" s="42">
        <f t="shared" si="3"/>
        <v>1</v>
      </c>
      <c r="N45" s="42">
        <f t="shared" si="4"/>
        <v>0</v>
      </c>
      <c r="O45" s="42">
        <f t="shared" si="5"/>
        <v>0</v>
      </c>
      <c r="P45" s="42">
        <f t="shared" si="6"/>
        <v>0</v>
      </c>
      <c r="Q45" s="42">
        <f t="shared" si="7"/>
        <v>0</v>
      </c>
      <c r="R45" s="42">
        <f t="shared" si="8"/>
        <v>1</v>
      </c>
      <c r="S45" s="43" t="str">
        <f t="shared" si="9"/>
        <v>YEMOLEE</v>
      </c>
      <c r="T45" s="41"/>
      <c r="U45" s="28">
        <f t="shared" si="10"/>
        <v>4</v>
      </c>
      <c r="V45" s="28">
        <f t="shared" ref="V45:W45" si="53">IF($L45=0,"",$I45-$H45)</f>
        <v>-4</v>
      </c>
      <c r="W45" s="28">
        <f t="shared" si="53"/>
        <v>-4</v>
      </c>
      <c r="X45" s="28">
        <f t="shared" si="12"/>
        <v>4</v>
      </c>
      <c r="Y45" s="28"/>
      <c r="Z45" s="28"/>
    </row>
    <row r="46" ht="15.75" customHeight="1">
      <c r="A46" s="38">
        <v>44.0</v>
      </c>
      <c r="B46" s="39">
        <v>46047.0</v>
      </c>
      <c r="C46" s="40" t="s">
        <v>99</v>
      </c>
      <c r="D46" s="40" t="s">
        <v>113</v>
      </c>
      <c r="E46" s="40">
        <v>6.0</v>
      </c>
      <c r="F46" s="40">
        <v>3.0</v>
      </c>
      <c r="G46" s="41" t="s">
        <v>5</v>
      </c>
      <c r="H46" s="42">
        <f>IF($G46="Walkover_Home",Settings!$B$10,IF($G46="Walkover_Away",Settings!$B$11,IF($G46="Cancelled","",IF($E46="","",$E46))))</f>
        <v>6</v>
      </c>
      <c r="I46" s="42">
        <f>IF($G46="Walkover_Home",Settings!$B$11,IF($G46="Walkover_Away",Settings!$B$10,IF($G46="Cancelled","",IF($F46="","",$F46))))</f>
        <v>3</v>
      </c>
      <c r="J46" s="42">
        <f>IF($L46=0,"",IF($G46="Walkover_Home",Settings!$B$7,IF($G46="Walkover_Away",Settings!$B$8,IF($H46&gt;$I46,Settings!$B$3,IF($H46&lt;$I46,Settings!$B$4,Settings!$B$5)))))</f>
        <v>3</v>
      </c>
      <c r="K46" s="42">
        <f>IF($L46=0,"",IF($G46="Walkover_Home",Settings!$B$8,IF($G46="Walkover_Away",Settings!$B$7,IF($I46&gt;$H46,Settings!$B$3,IF($I46&lt;$H46,Settings!$B$4,Settings!$B$5)))))</f>
        <v>0</v>
      </c>
      <c r="L46" s="42">
        <f t="shared" si="2"/>
        <v>1</v>
      </c>
      <c r="M46" s="42">
        <f t="shared" si="3"/>
        <v>1</v>
      </c>
      <c r="N46" s="42">
        <f t="shared" si="4"/>
        <v>0</v>
      </c>
      <c r="O46" s="42">
        <f t="shared" si="5"/>
        <v>0</v>
      </c>
      <c r="P46" s="42">
        <f t="shared" si="6"/>
        <v>0</v>
      </c>
      <c r="Q46" s="42">
        <f t="shared" si="7"/>
        <v>0</v>
      </c>
      <c r="R46" s="42">
        <f t="shared" si="8"/>
        <v>1</v>
      </c>
      <c r="S46" s="43" t="str">
        <f t="shared" si="9"/>
        <v>KAYKAY</v>
      </c>
      <c r="T46" s="41"/>
      <c r="U46" s="28">
        <f t="shared" si="10"/>
        <v>3</v>
      </c>
      <c r="V46" s="28">
        <f t="shared" ref="V46:W46" si="54">IF($L46=0,"",$I46-$H46)</f>
        <v>-3</v>
      </c>
      <c r="W46" s="28">
        <f t="shared" si="54"/>
        <v>-3</v>
      </c>
      <c r="X46" s="28">
        <f t="shared" si="12"/>
        <v>3</v>
      </c>
      <c r="Y46" s="28"/>
      <c r="Z46" s="28"/>
    </row>
    <row r="47" ht="15.75" customHeight="1">
      <c r="A47" s="38">
        <v>45.0</v>
      </c>
      <c r="B47" s="39">
        <v>46047.0</v>
      </c>
      <c r="C47" s="40" t="s">
        <v>108</v>
      </c>
      <c r="D47" s="40" t="s">
        <v>110</v>
      </c>
      <c r="E47" s="40">
        <v>4.0</v>
      </c>
      <c r="F47" s="40">
        <v>2.0</v>
      </c>
      <c r="G47" s="41" t="s">
        <v>5</v>
      </c>
      <c r="H47" s="42">
        <f>IF($G47="Walkover_Home",Settings!$B$10,IF($G47="Walkover_Away",Settings!$B$11,IF($G47="Cancelled","",IF($E47="","",$E47))))</f>
        <v>4</v>
      </c>
      <c r="I47" s="42">
        <f>IF($G47="Walkover_Home",Settings!$B$11,IF($G47="Walkover_Away",Settings!$B$10,IF($G47="Cancelled","",IF($F47="","",$F47))))</f>
        <v>2</v>
      </c>
      <c r="J47" s="42">
        <f>IF($L47=0,"",IF($G47="Walkover_Home",Settings!$B$7,IF($G47="Walkover_Away",Settings!$B$8,IF($H47&gt;$I47,Settings!$B$3,IF($H47&lt;$I47,Settings!$B$4,Settings!$B$5)))))</f>
        <v>3</v>
      </c>
      <c r="K47" s="42">
        <f>IF($L47=0,"",IF($G47="Walkover_Home",Settings!$B$8,IF($G47="Walkover_Away",Settings!$B$7,IF($I47&gt;$H47,Settings!$B$3,IF($I47&lt;$H47,Settings!$B$4,Settings!$B$5)))))</f>
        <v>0</v>
      </c>
      <c r="L47" s="42">
        <f t="shared" si="2"/>
        <v>1</v>
      </c>
      <c r="M47" s="42">
        <f t="shared" si="3"/>
        <v>1</v>
      </c>
      <c r="N47" s="42">
        <f t="shared" si="4"/>
        <v>0</v>
      </c>
      <c r="O47" s="42">
        <f t="shared" si="5"/>
        <v>0</v>
      </c>
      <c r="P47" s="42">
        <f t="shared" si="6"/>
        <v>0</v>
      </c>
      <c r="Q47" s="42">
        <f t="shared" si="7"/>
        <v>0</v>
      </c>
      <c r="R47" s="42">
        <f t="shared" si="8"/>
        <v>1</v>
      </c>
      <c r="S47" s="43" t="str">
        <f t="shared" si="9"/>
        <v>GAMEWITHJOSH</v>
      </c>
      <c r="T47" s="41"/>
      <c r="U47" s="28">
        <f t="shared" si="10"/>
        <v>2</v>
      </c>
      <c r="V47" s="28">
        <f t="shared" ref="V47:W47" si="55">IF($L47=0,"",$I47-$H47)</f>
        <v>-2</v>
      </c>
      <c r="W47" s="28">
        <f t="shared" si="55"/>
        <v>-2</v>
      </c>
      <c r="X47" s="28">
        <f t="shared" si="12"/>
        <v>2</v>
      </c>
      <c r="Y47" s="28"/>
      <c r="Z47" s="28"/>
    </row>
    <row r="48" ht="15.75" customHeight="1">
      <c r="A48" s="38">
        <v>46.0</v>
      </c>
      <c r="B48" s="39">
        <v>46047.0</v>
      </c>
      <c r="C48" s="40" t="s">
        <v>105</v>
      </c>
      <c r="D48" s="40" t="s">
        <v>113</v>
      </c>
      <c r="E48" s="40">
        <v>5.0</v>
      </c>
      <c r="F48" s="40">
        <v>2.0</v>
      </c>
      <c r="G48" s="41" t="s">
        <v>5</v>
      </c>
      <c r="H48" s="42">
        <f>IF($G48="Walkover_Home",Settings!$B$10,IF($G48="Walkover_Away",Settings!$B$11,IF($G48="Cancelled","",IF($E48="","",$E48))))</f>
        <v>5</v>
      </c>
      <c r="I48" s="42">
        <f>IF($G48="Walkover_Home",Settings!$B$11,IF($G48="Walkover_Away",Settings!$B$10,IF($G48="Cancelled","",IF($F48="","",$F48))))</f>
        <v>2</v>
      </c>
      <c r="J48" s="42">
        <f>IF($L48=0,"",IF($G48="Walkover_Home",Settings!$B$7,IF($G48="Walkover_Away",Settings!$B$8,IF($H48&gt;$I48,Settings!$B$3,IF($H48&lt;$I48,Settings!$B$4,Settings!$B$5)))))</f>
        <v>3</v>
      </c>
      <c r="K48" s="42">
        <f>IF($L48=0,"",IF($G48="Walkover_Home",Settings!$B$8,IF($G48="Walkover_Away",Settings!$B$7,IF($I48&gt;$H48,Settings!$B$3,IF($I48&lt;$H48,Settings!$B$4,Settings!$B$5)))))</f>
        <v>0</v>
      </c>
      <c r="L48" s="42">
        <f t="shared" si="2"/>
        <v>1</v>
      </c>
      <c r="M48" s="42">
        <f t="shared" si="3"/>
        <v>1</v>
      </c>
      <c r="N48" s="42">
        <f t="shared" si="4"/>
        <v>0</v>
      </c>
      <c r="O48" s="42">
        <f t="shared" si="5"/>
        <v>0</v>
      </c>
      <c r="P48" s="42">
        <f t="shared" si="6"/>
        <v>0</v>
      </c>
      <c r="Q48" s="42">
        <f t="shared" si="7"/>
        <v>0</v>
      </c>
      <c r="R48" s="42">
        <f t="shared" si="8"/>
        <v>1</v>
      </c>
      <c r="S48" s="43" t="str">
        <f t="shared" si="9"/>
        <v>RHYMEZ</v>
      </c>
      <c r="T48" s="41"/>
      <c r="U48" s="28">
        <f t="shared" si="10"/>
        <v>3</v>
      </c>
      <c r="V48" s="28">
        <f t="shared" ref="V48:W48" si="56">IF($L48=0,"",$I48-$H48)</f>
        <v>-3</v>
      </c>
      <c r="W48" s="28">
        <f t="shared" si="56"/>
        <v>-3</v>
      </c>
      <c r="X48" s="28">
        <f t="shared" si="12"/>
        <v>3</v>
      </c>
      <c r="Y48" s="28"/>
      <c r="Z48" s="28"/>
    </row>
    <row r="49" ht="15.75" customHeight="1">
      <c r="A49" s="38">
        <v>47.0</v>
      </c>
      <c r="B49" s="39">
        <v>46047.0</v>
      </c>
      <c r="C49" s="40" t="s">
        <v>98</v>
      </c>
      <c r="D49" s="40" t="s">
        <v>111</v>
      </c>
      <c r="E49" s="40">
        <v>6.0</v>
      </c>
      <c r="F49" s="40">
        <v>1.0</v>
      </c>
      <c r="G49" s="41" t="s">
        <v>5</v>
      </c>
      <c r="H49" s="42">
        <f>IF($G49="Walkover_Home",Settings!$B$10,IF($G49="Walkover_Away",Settings!$B$11,IF($G49="Cancelled","",IF($E49="","",$E49))))</f>
        <v>6</v>
      </c>
      <c r="I49" s="42">
        <f>IF($G49="Walkover_Home",Settings!$B$11,IF($G49="Walkover_Away",Settings!$B$10,IF($G49="Cancelled","",IF($F49="","",$F49))))</f>
        <v>1</v>
      </c>
      <c r="J49" s="42">
        <f>IF($L49=0,"",IF($G49="Walkover_Home",Settings!$B$7,IF($G49="Walkover_Away",Settings!$B$8,IF($H49&gt;$I49,Settings!$B$3,IF($H49&lt;$I49,Settings!$B$4,Settings!$B$5)))))</f>
        <v>3</v>
      </c>
      <c r="K49" s="42">
        <f>IF($L49=0,"",IF($G49="Walkover_Home",Settings!$B$8,IF($G49="Walkover_Away",Settings!$B$7,IF($I49&gt;$H49,Settings!$B$3,IF($I49&lt;$H49,Settings!$B$4,Settings!$B$5)))))</f>
        <v>0</v>
      </c>
      <c r="L49" s="42">
        <f t="shared" si="2"/>
        <v>1</v>
      </c>
      <c r="M49" s="42">
        <f t="shared" si="3"/>
        <v>1</v>
      </c>
      <c r="N49" s="42">
        <f t="shared" si="4"/>
        <v>0</v>
      </c>
      <c r="O49" s="42">
        <f t="shared" si="5"/>
        <v>0</v>
      </c>
      <c r="P49" s="42">
        <f t="shared" si="6"/>
        <v>0</v>
      </c>
      <c r="Q49" s="42">
        <f t="shared" si="7"/>
        <v>0</v>
      </c>
      <c r="R49" s="42">
        <f t="shared" si="8"/>
        <v>1</v>
      </c>
      <c r="S49" s="43" t="str">
        <f t="shared" si="9"/>
        <v>GURU</v>
      </c>
      <c r="T49" s="41"/>
      <c r="U49" s="28">
        <f t="shared" si="10"/>
        <v>5</v>
      </c>
      <c r="V49" s="28">
        <f t="shared" ref="V49:W49" si="57">IF($L49=0,"",$I49-$H49)</f>
        <v>-5</v>
      </c>
      <c r="W49" s="28">
        <f t="shared" si="57"/>
        <v>-5</v>
      </c>
      <c r="X49" s="28">
        <f t="shared" si="12"/>
        <v>5</v>
      </c>
      <c r="Y49" s="28"/>
      <c r="Z49" s="28"/>
    </row>
    <row r="50" ht="15.75" customHeight="1">
      <c r="A50" s="38">
        <v>48.0</v>
      </c>
      <c r="B50" s="39">
        <v>46047.0</v>
      </c>
      <c r="C50" s="40" t="s">
        <v>103</v>
      </c>
      <c r="D50" s="40" t="s">
        <v>110</v>
      </c>
      <c r="E50" s="40">
        <v>3.0</v>
      </c>
      <c r="F50" s="40">
        <v>5.0</v>
      </c>
      <c r="G50" s="41" t="s">
        <v>5</v>
      </c>
      <c r="H50" s="42">
        <f>IF($G50="Walkover_Home",Settings!$B$10,IF($G50="Walkover_Away",Settings!$B$11,IF($G50="Cancelled","",IF($E50="","",$E50))))</f>
        <v>3</v>
      </c>
      <c r="I50" s="42">
        <f>IF($G50="Walkover_Home",Settings!$B$11,IF($G50="Walkover_Away",Settings!$B$10,IF($G50="Cancelled","",IF($F50="","",$F50))))</f>
        <v>5</v>
      </c>
      <c r="J50" s="42">
        <f>IF($L50=0,"",IF($G50="Walkover_Home",Settings!$B$7,IF($G50="Walkover_Away",Settings!$B$8,IF($H50&gt;$I50,Settings!$B$3,IF($H50&lt;$I50,Settings!$B$4,Settings!$B$5)))))</f>
        <v>0</v>
      </c>
      <c r="K50" s="42">
        <f>IF($L50=0,"",IF($G50="Walkover_Home",Settings!$B$8,IF($G50="Walkover_Away",Settings!$B$7,IF($I50&gt;$H50,Settings!$B$3,IF($I50&lt;$H50,Settings!$B$4,Settings!$B$5)))))</f>
        <v>3</v>
      </c>
      <c r="L50" s="42">
        <f t="shared" si="2"/>
        <v>1</v>
      </c>
      <c r="M50" s="42">
        <f t="shared" si="3"/>
        <v>0</v>
      </c>
      <c r="N50" s="42">
        <f t="shared" si="4"/>
        <v>0</v>
      </c>
      <c r="O50" s="42">
        <f t="shared" si="5"/>
        <v>1</v>
      </c>
      <c r="P50" s="42">
        <f t="shared" si="6"/>
        <v>1</v>
      </c>
      <c r="Q50" s="42">
        <f t="shared" si="7"/>
        <v>0</v>
      </c>
      <c r="R50" s="42">
        <f t="shared" si="8"/>
        <v>0</v>
      </c>
      <c r="S50" s="43" t="str">
        <f t="shared" si="9"/>
        <v>SON OF GOD</v>
      </c>
      <c r="T50" s="41"/>
      <c r="U50" s="28">
        <f t="shared" si="10"/>
        <v>-2</v>
      </c>
      <c r="V50" s="28">
        <f t="shared" ref="V50:W50" si="58">IF($L50=0,"",$I50-$H50)</f>
        <v>2</v>
      </c>
      <c r="W50" s="28">
        <f t="shared" si="58"/>
        <v>2</v>
      </c>
      <c r="X50" s="28">
        <f t="shared" si="12"/>
        <v>-2</v>
      </c>
      <c r="Y50" s="28"/>
      <c r="Z50" s="28"/>
    </row>
    <row r="51" ht="15.75" customHeight="1">
      <c r="A51" s="38">
        <v>49.0</v>
      </c>
      <c r="B51" s="39">
        <v>46047.0</v>
      </c>
      <c r="C51" s="40" t="s">
        <v>97</v>
      </c>
      <c r="D51" s="40" t="s">
        <v>101</v>
      </c>
      <c r="E51" s="41"/>
      <c r="F51" s="41"/>
      <c r="G51" s="40" t="s">
        <v>90</v>
      </c>
      <c r="H51" s="42">
        <f>IF($G51="Walkover_Home",Settings!$B$10,IF($G51="Walkover_Away",Settings!$B$11,IF($G51="Cancelled","",IF($E51="","",$E51))))</f>
        <v>0</v>
      </c>
      <c r="I51" s="42">
        <f>IF($G51="Walkover_Home",Settings!$B$11,IF($G51="Walkover_Away",Settings!$B$10,IF($G51="Cancelled","",IF($F51="","",$F51))))</f>
        <v>3</v>
      </c>
      <c r="J51" s="42">
        <f>IF($L51=0,"",IF($G51="Walkover_Home",Settings!$B$7,IF($G51="Walkover_Away",Settings!$B$8,IF($H51&gt;$I51,Settings!$B$3,IF($H51&lt;$I51,Settings!$B$4,Settings!$B$5)))))</f>
        <v>0</v>
      </c>
      <c r="K51" s="42">
        <f>IF($L51=0,"",IF($G51="Walkover_Home",Settings!$B$8,IF($G51="Walkover_Away",Settings!$B$7,IF($I51&gt;$H51,Settings!$B$3,IF($I51&lt;$H51,Settings!$B$4,Settings!$B$5)))))</f>
        <v>3</v>
      </c>
      <c r="L51" s="42">
        <f t="shared" si="2"/>
        <v>1</v>
      </c>
      <c r="M51" s="42">
        <f t="shared" si="3"/>
        <v>0</v>
      </c>
      <c r="N51" s="42">
        <f t="shared" si="4"/>
        <v>0</v>
      </c>
      <c r="O51" s="42">
        <f t="shared" si="5"/>
        <v>1</v>
      </c>
      <c r="P51" s="42">
        <f t="shared" si="6"/>
        <v>1</v>
      </c>
      <c r="Q51" s="42">
        <f t="shared" si="7"/>
        <v>0</v>
      </c>
      <c r="R51" s="42">
        <f t="shared" si="8"/>
        <v>0</v>
      </c>
      <c r="S51" s="43" t="str">
        <f t="shared" si="9"/>
        <v>WOLEVATION</v>
      </c>
      <c r="T51" s="41"/>
      <c r="U51" s="28">
        <f t="shared" si="10"/>
        <v>-3</v>
      </c>
      <c r="V51" s="28">
        <f t="shared" ref="V51:W51" si="59">IF($L51=0,"",$I51-$H51)</f>
        <v>3</v>
      </c>
      <c r="W51" s="28">
        <f t="shared" si="59"/>
        <v>3</v>
      </c>
      <c r="X51" s="28">
        <f t="shared" si="12"/>
        <v>-3</v>
      </c>
      <c r="Y51" s="28"/>
      <c r="Z51" s="28"/>
    </row>
    <row r="52" ht="15.75" customHeight="1">
      <c r="A52" s="38">
        <v>50.0</v>
      </c>
      <c r="B52" s="39">
        <v>46047.0</v>
      </c>
      <c r="C52" s="40" t="s">
        <v>97</v>
      </c>
      <c r="D52" s="40" t="s">
        <v>95</v>
      </c>
      <c r="E52" s="41"/>
      <c r="F52" s="41"/>
      <c r="G52" s="40" t="s">
        <v>90</v>
      </c>
      <c r="H52" s="42">
        <f>IF($G52="Walkover_Home",Settings!$B$10,IF($G52="Walkover_Away",Settings!$B$11,IF($G52="Cancelled","",IF($E52="","",$E52))))</f>
        <v>0</v>
      </c>
      <c r="I52" s="42">
        <f>IF($G52="Walkover_Home",Settings!$B$11,IF($G52="Walkover_Away",Settings!$B$10,IF($G52="Cancelled","",IF($F52="","",$F52))))</f>
        <v>3</v>
      </c>
      <c r="J52" s="42">
        <f>IF($L52=0,"",IF($G52="Walkover_Home",Settings!$B$7,IF($G52="Walkover_Away",Settings!$B$8,IF($H52&gt;$I52,Settings!$B$3,IF($H52&lt;$I52,Settings!$B$4,Settings!$B$5)))))</f>
        <v>0</v>
      </c>
      <c r="K52" s="42">
        <f>IF($L52=0,"",IF($G52="Walkover_Home",Settings!$B$8,IF($G52="Walkover_Away",Settings!$B$7,IF($I52&gt;$H52,Settings!$B$3,IF($I52&lt;$H52,Settings!$B$4,Settings!$B$5)))))</f>
        <v>3</v>
      </c>
      <c r="L52" s="42">
        <f t="shared" si="2"/>
        <v>1</v>
      </c>
      <c r="M52" s="42">
        <f t="shared" si="3"/>
        <v>0</v>
      </c>
      <c r="N52" s="42">
        <f t="shared" si="4"/>
        <v>0</v>
      </c>
      <c r="O52" s="42">
        <f t="shared" si="5"/>
        <v>1</v>
      </c>
      <c r="P52" s="42">
        <f t="shared" si="6"/>
        <v>1</v>
      </c>
      <c r="Q52" s="42">
        <f t="shared" si="7"/>
        <v>0</v>
      </c>
      <c r="R52" s="42">
        <f t="shared" si="8"/>
        <v>0</v>
      </c>
      <c r="S52" s="43" t="str">
        <f t="shared" si="9"/>
        <v>MR OGA</v>
      </c>
      <c r="T52" s="41"/>
      <c r="U52" s="28">
        <f t="shared" si="10"/>
        <v>-3</v>
      </c>
      <c r="V52" s="28">
        <f t="shared" ref="V52:W52" si="60">IF($L52=0,"",$I52-$H52)</f>
        <v>3</v>
      </c>
      <c r="W52" s="28">
        <f t="shared" si="60"/>
        <v>3</v>
      </c>
      <c r="X52" s="28">
        <f t="shared" si="12"/>
        <v>-3</v>
      </c>
      <c r="Y52" s="28"/>
      <c r="Z52" s="28"/>
    </row>
    <row r="53" ht="15.75" customHeight="1">
      <c r="A53" s="38">
        <v>51.0</v>
      </c>
      <c r="B53" s="39">
        <v>46047.0</v>
      </c>
      <c r="C53" s="40" t="s">
        <v>100</v>
      </c>
      <c r="D53" s="40" t="s">
        <v>114</v>
      </c>
      <c r="E53" s="40">
        <v>4.0</v>
      </c>
      <c r="F53" s="40">
        <v>3.0</v>
      </c>
      <c r="G53" s="41" t="s">
        <v>5</v>
      </c>
      <c r="H53" s="42">
        <f>IF($G53="Walkover_Home",Settings!$B$10,IF($G53="Walkover_Away",Settings!$B$11,IF($G53="Cancelled","",IF($E53="","",$E53))))</f>
        <v>4</v>
      </c>
      <c r="I53" s="42">
        <f>IF($G53="Walkover_Home",Settings!$B$11,IF($G53="Walkover_Away",Settings!$B$10,IF($G53="Cancelled","",IF($F53="","",$F53))))</f>
        <v>3</v>
      </c>
      <c r="J53" s="42">
        <f>IF($L53=0,"",IF($G53="Walkover_Home",Settings!$B$7,IF($G53="Walkover_Away",Settings!$B$8,IF($H53&gt;$I53,Settings!$B$3,IF($H53&lt;$I53,Settings!$B$4,Settings!$B$5)))))</f>
        <v>3</v>
      </c>
      <c r="K53" s="42">
        <f>IF($L53=0,"",IF($G53="Walkover_Home",Settings!$B$8,IF($G53="Walkover_Away",Settings!$B$7,IF($I53&gt;$H53,Settings!$B$3,IF($I53&lt;$H53,Settings!$B$4,Settings!$B$5)))))</f>
        <v>0</v>
      </c>
      <c r="L53" s="42">
        <f t="shared" si="2"/>
        <v>1</v>
      </c>
      <c r="M53" s="42">
        <f t="shared" si="3"/>
        <v>1</v>
      </c>
      <c r="N53" s="42">
        <f t="shared" si="4"/>
        <v>0</v>
      </c>
      <c r="O53" s="42">
        <f t="shared" si="5"/>
        <v>0</v>
      </c>
      <c r="P53" s="42">
        <f t="shared" si="6"/>
        <v>0</v>
      </c>
      <c r="Q53" s="42">
        <f t="shared" si="7"/>
        <v>0</v>
      </c>
      <c r="R53" s="42">
        <f t="shared" si="8"/>
        <v>1</v>
      </c>
      <c r="S53" s="43" t="str">
        <f t="shared" si="9"/>
        <v>TACTICAL</v>
      </c>
      <c r="T53" s="41"/>
      <c r="U53" s="28">
        <f t="shared" si="10"/>
        <v>1</v>
      </c>
      <c r="V53" s="28">
        <f t="shared" ref="V53:W53" si="61">IF($L53=0,"",$I53-$H53)</f>
        <v>-1</v>
      </c>
      <c r="W53" s="28">
        <f t="shared" si="61"/>
        <v>-1</v>
      </c>
      <c r="X53" s="28">
        <f t="shared" si="12"/>
        <v>1</v>
      </c>
      <c r="Y53" s="28"/>
      <c r="Z53" s="28"/>
    </row>
    <row r="54" ht="15.75" customHeight="1">
      <c r="A54" s="38">
        <v>52.0</v>
      </c>
      <c r="B54" s="39">
        <v>46047.0</v>
      </c>
      <c r="C54" s="40" t="s">
        <v>102</v>
      </c>
      <c r="D54" s="40" t="s">
        <v>112</v>
      </c>
      <c r="E54" s="40">
        <v>10.0</v>
      </c>
      <c r="F54" s="40">
        <v>2.0</v>
      </c>
      <c r="G54" s="41" t="s">
        <v>5</v>
      </c>
      <c r="H54" s="42">
        <f>IF($G54="Walkover_Home",Settings!$B$10,IF($G54="Walkover_Away",Settings!$B$11,IF($G54="Cancelled","",IF($E54="","",$E54))))</f>
        <v>10</v>
      </c>
      <c r="I54" s="42">
        <f>IF($G54="Walkover_Home",Settings!$B$11,IF($G54="Walkover_Away",Settings!$B$10,IF($G54="Cancelled","",IF($F54="","",$F54))))</f>
        <v>2</v>
      </c>
      <c r="J54" s="42">
        <f>IF($L54=0,"",IF($G54="Walkover_Home",Settings!$B$7,IF($G54="Walkover_Away",Settings!$B$8,IF($H54&gt;$I54,Settings!$B$3,IF($H54&lt;$I54,Settings!$B$4,Settings!$B$5)))))</f>
        <v>3</v>
      </c>
      <c r="K54" s="42">
        <f>IF($L54=0,"",IF($G54="Walkover_Home",Settings!$B$8,IF($G54="Walkover_Away",Settings!$B$7,IF($I54&gt;$H54,Settings!$B$3,IF($I54&lt;$H54,Settings!$B$4,Settings!$B$5)))))</f>
        <v>0</v>
      </c>
      <c r="L54" s="42">
        <f t="shared" si="2"/>
        <v>1</v>
      </c>
      <c r="M54" s="42">
        <f t="shared" si="3"/>
        <v>1</v>
      </c>
      <c r="N54" s="42">
        <f t="shared" si="4"/>
        <v>0</v>
      </c>
      <c r="O54" s="42">
        <f t="shared" si="5"/>
        <v>0</v>
      </c>
      <c r="P54" s="42">
        <f t="shared" si="6"/>
        <v>0</v>
      </c>
      <c r="Q54" s="42">
        <f t="shared" si="7"/>
        <v>0</v>
      </c>
      <c r="R54" s="42">
        <f t="shared" si="8"/>
        <v>1</v>
      </c>
      <c r="S54" s="43" t="str">
        <f t="shared" si="9"/>
        <v>KHALEEDOY</v>
      </c>
      <c r="T54" s="41"/>
      <c r="U54" s="28">
        <f t="shared" si="10"/>
        <v>8</v>
      </c>
      <c r="V54" s="28">
        <f t="shared" ref="V54:W54" si="62">IF($L54=0,"",$I54-$H54)</f>
        <v>-8</v>
      </c>
      <c r="W54" s="28">
        <f t="shared" si="62"/>
        <v>-8</v>
      </c>
      <c r="X54" s="28">
        <f t="shared" si="12"/>
        <v>8</v>
      </c>
      <c r="Y54" s="28"/>
      <c r="Z54" s="28"/>
    </row>
    <row r="55" ht="15.75" customHeight="1">
      <c r="A55" s="38">
        <v>53.0</v>
      </c>
      <c r="B55" s="39">
        <v>46055.0</v>
      </c>
      <c r="C55" s="40" t="s">
        <v>95</v>
      </c>
      <c r="D55" s="40" t="s">
        <v>107</v>
      </c>
      <c r="E55" s="40">
        <v>6.0</v>
      </c>
      <c r="F55" s="40">
        <v>5.0</v>
      </c>
      <c r="G55" s="41" t="s">
        <v>5</v>
      </c>
      <c r="H55" s="42">
        <f>IF($G55="Walkover_Home",Settings!$B$10,IF($G55="Walkover_Away",Settings!$B$11,IF($G55="Cancelled","",IF($E55="","",$E55))))</f>
        <v>6</v>
      </c>
      <c r="I55" s="42">
        <f>IF($G55="Walkover_Home",Settings!$B$11,IF($G55="Walkover_Away",Settings!$B$10,IF($G55="Cancelled","",IF($F55="","",$F55))))</f>
        <v>5</v>
      </c>
      <c r="J55" s="42">
        <f>IF($L55=0,"",IF($G55="Walkover_Home",Settings!$B$7,IF($G55="Walkover_Away",Settings!$B$8,IF($H55&gt;$I55,Settings!$B$3,IF($H55&lt;$I55,Settings!$B$4,Settings!$B$5)))))</f>
        <v>3</v>
      </c>
      <c r="K55" s="42">
        <f>IF($L55=0,"",IF($G55="Walkover_Home",Settings!$B$8,IF($G55="Walkover_Away",Settings!$B$7,IF($I55&gt;$H55,Settings!$B$3,IF($I55&lt;$H55,Settings!$B$4,Settings!$B$5)))))</f>
        <v>0</v>
      </c>
      <c r="L55" s="42">
        <f t="shared" si="2"/>
        <v>1</v>
      </c>
      <c r="M55" s="42">
        <f t="shared" si="3"/>
        <v>1</v>
      </c>
      <c r="N55" s="42">
        <f t="shared" si="4"/>
        <v>0</v>
      </c>
      <c r="O55" s="42">
        <f t="shared" si="5"/>
        <v>0</v>
      </c>
      <c r="P55" s="42">
        <f t="shared" si="6"/>
        <v>0</v>
      </c>
      <c r="Q55" s="42">
        <f t="shared" si="7"/>
        <v>0</v>
      </c>
      <c r="R55" s="42">
        <f t="shared" si="8"/>
        <v>1</v>
      </c>
      <c r="S55" s="43" t="str">
        <f t="shared" si="9"/>
        <v>MR OGA</v>
      </c>
      <c r="T55" s="41"/>
      <c r="U55" s="28">
        <f t="shared" si="10"/>
        <v>1</v>
      </c>
      <c r="V55" s="28">
        <f t="shared" ref="V55:W55" si="63">IF($L55=0,"",$I55-$H55)</f>
        <v>-1</v>
      </c>
      <c r="W55" s="28">
        <f t="shared" si="63"/>
        <v>-1</v>
      </c>
      <c r="X55" s="28">
        <f t="shared" si="12"/>
        <v>1</v>
      </c>
      <c r="Y55" s="28"/>
      <c r="Z55" s="28"/>
    </row>
    <row r="56" ht="15.75" customHeight="1">
      <c r="A56" s="38">
        <v>54.0</v>
      </c>
      <c r="B56" s="39">
        <v>46055.0</v>
      </c>
      <c r="C56" s="40" t="s">
        <v>100</v>
      </c>
      <c r="D56" s="40" t="s">
        <v>102</v>
      </c>
      <c r="E56" s="40">
        <v>4.0</v>
      </c>
      <c r="F56" s="40">
        <v>3.0</v>
      </c>
      <c r="G56" s="41" t="s">
        <v>5</v>
      </c>
      <c r="H56" s="42">
        <f>IF($G56="Walkover_Home",Settings!$B$10,IF($G56="Walkover_Away",Settings!$B$11,IF($G56="Cancelled","",IF($E56="","",$E56))))</f>
        <v>4</v>
      </c>
      <c r="I56" s="42">
        <f>IF($G56="Walkover_Home",Settings!$B$11,IF($G56="Walkover_Away",Settings!$B$10,IF($G56="Cancelled","",IF($F56="","",$F56))))</f>
        <v>3</v>
      </c>
      <c r="J56" s="42">
        <f>IF($L56=0,"",IF($G56="Walkover_Home",Settings!$B$7,IF($G56="Walkover_Away",Settings!$B$8,IF($H56&gt;$I56,Settings!$B$3,IF($H56&lt;$I56,Settings!$B$4,Settings!$B$5)))))</f>
        <v>3</v>
      </c>
      <c r="K56" s="42">
        <f>IF($L56=0,"",IF($G56="Walkover_Home",Settings!$B$8,IF($G56="Walkover_Away",Settings!$B$7,IF($I56&gt;$H56,Settings!$B$3,IF($I56&lt;$H56,Settings!$B$4,Settings!$B$5)))))</f>
        <v>0</v>
      </c>
      <c r="L56" s="42">
        <f t="shared" si="2"/>
        <v>1</v>
      </c>
      <c r="M56" s="42">
        <f t="shared" si="3"/>
        <v>1</v>
      </c>
      <c r="N56" s="42">
        <f t="shared" si="4"/>
        <v>0</v>
      </c>
      <c r="O56" s="42">
        <f t="shared" si="5"/>
        <v>0</v>
      </c>
      <c r="P56" s="42">
        <f t="shared" si="6"/>
        <v>0</v>
      </c>
      <c r="Q56" s="42">
        <f t="shared" si="7"/>
        <v>0</v>
      </c>
      <c r="R56" s="42">
        <f t="shared" si="8"/>
        <v>1</v>
      </c>
      <c r="S56" s="43" t="str">
        <f t="shared" si="9"/>
        <v>TACTICAL</v>
      </c>
      <c r="T56" s="41"/>
      <c r="U56" s="28">
        <f t="shared" si="10"/>
        <v>1</v>
      </c>
      <c r="V56" s="28">
        <f t="shared" ref="V56:W56" si="64">IF($L56=0,"",$I56-$H56)</f>
        <v>-1</v>
      </c>
      <c r="W56" s="28">
        <f t="shared" si="64"/>
        <v>-1</v>
      </c>
      <c r="X56" s="28">
        <f t="shared" si="12"/>
        <v>1</v>
      </c>
      <c r="Y56" s="28"/>
      <c r="Z56" s="28"/>
    </row>
    <row r="57" ht="15.75" customHeight="1">
      <c r="A57" s="38">
        <v>55.0</v>
      </c>
      <c r="B57" s="39">
        <v>46055.0</v>
      </c>
      <c r="C57" s="40" t="s">
        <v>98</v>
      </c>
      <c r="D57" s="40" t="s">
        <v>104</v>
      </c>
      <c r="E57" s="40">
        <v>3.0</v>
      </c>
      <c r="F57" s="40">
        <v>5.0</v>
      </c>
      <c r="G57" s="41" t="s">
        <v>5</v>
      </c>
      <c r="H57" s="42">
        <f>IF($G57="Walkover_Home",Settings!$B$10,IF($G57="Walkover_Away",Settings!$B$11,IF($G57="Cancelled","",IF($E57="","",$E57))))</f>
        <v>3</v>
      </c>
      <c r="I57" s="42">
        <f>IF($G57="Walkover_Home",Settings!$B$11,IF($G57="Walkover_Away",Settings!$B$10,IF($G57="Cancelled","",IF($F57="","",$F57))))</f>
        <v>5</v>
      </c>
      <c r="J57" s="42">
        <f>IF($L57=0,"",IF($G57="Walkover_Home",Settings!$B$7,IF($G57="Walkover_Away",Settings!$B$8,IF($H57&gt;$I57,Settings!$B$3,IF($H57&lt;$I57,Settings!$B$4,Settings!$B$5)))))</f>
        <v>0</v>
      </c>
      <c r="K57" s="42">
        <f>IF($L57=0,"",IF($G57="Walkover_Home",Settings!$B$8,IF($G57="Walkover_Away",Settings!$B$7,IF($I57&gt;$H57,Settings!$B$3,IF($I57&lt;$H57,Settings!$B$4,Settings!$B$5)))))</f>
        <v>3</v>
      </c>
      <c r="L57" s="42">
        <f t="shared" si="2"/>
        <v>1</v>
      </c>
      <c r="M57" s="42">
        <f t="shared" si="3"/>
        <v>0</v>
      </c>
      <c r="N57" s="42">
        <f t="shared" si="4"/>
        <v>0</v>
      </c>
      <c r="O57" s="42">
        <f t="shared" si="5"/>
        <v>1</v>
      </c>
      <c r="P57" s="42">
        <f t="shared" si="6"/>
        <v>1</v>
      </c>
      <c r="Q57" s="42">
        <f t="shared" si="7"/>
        <v>0</v>
      </c>
      <c r="R57" s="42">
        <f t="shared" si="8"/>
        <v>0</v>
      </c>
      <c r="S57" s="43" t="str">
        <f t="shared" si="9"/>
        <v>YEMOLEE</v>
      </c>
      <c r="T57" s="41"/>
      <c r="U57" s="28">
        <f t="shared" si="10"/>
        <v>-2</v>
      </c>
      <c r="V57" s="28">
        <f t="shared" ref="V57:W57" si="65">IF($L57=0,"",$I57-$H57)</f>
        <v>2</v>
      </c>
      <c r="W57" s="28">
        <f t="shared" si="65"/>
        <v>2</v>
      </c>
      <c r="X57" s="28">
        <f t="shared" si="12"/>
        <v>-2</v>
      </c>
      <c r="Y57" s="28"/>
      <c r="Z57" s="28"/>
    </row>
    <row r="58" ht="15.75" customHeight="1">
      <c r="A58" s="38">
        <v>56.0</v>
      </c>
      <c r="B58" s="39">
        <v>46055.0</v>
      </c>
      <c r="C58" s="40" t="s">
        <v>96</v>
      </c>
      <c r="D58" s="40" t="s">
        <v>109</v>
      </c>
      <c r="E58" s="40">
        <v>5.0</v>
      </c>
      <c r="F58" s="40">
        <v>6.0</v>
      </c>
      <c r="G58" s="41" t="s">
        <v>5</v>
      </c>
      <c r="H58" s="42">
        <f>IF($G58="Walkover_Home",Settings!$B$10,IF($G58="Walkover_Away",Settings!$B$11,IF($G58="Cancelled","",IF($E58="","",$E58))))</f>
        <v>5</v>
      </c>
      <c r="I58" s="42">
        <f>IF($G58="Walkover_Home",Settings!$B$11,IF($G58="Walkover_Away",Settings!$B$10,IF($G58="Cancelled","",IF($F58="","",$F58))))</f>
        <v>6</v>
      </c>
      <c r="J58" s="42">
        <f>IF($L58=0,"",IF($G58="Walkover_Home",Settings!$B$7,IF($G58="Walkover_Away",Settings!$B$8,IF($H58&gt;$I58,Settings!$B$3,IF($H58&lt;$I58,Settings!$B$4,Settings!$B$5)))))</f>
        <v>0</v>
      </c>
      <c r="K58" s="42">
        <f>IF($L58=0,"",IF($G58="Walkover_Home",Settings!$B$8,IF($G58="Walkover_Away",Settings!$B$7,IF($I58&gt;$H58,Settings!$B$3,IF($I58&lt;$H58,Settings!$B$4,Settings!$B$5)))))</f>
        <v>3</v>
      </c>
      <c r="L58" s="42">
        <f t="shared" si="2"/>
        <v>1</v>
      </c>
      <c r="M58" s="42">
        <f t="shared" si="3"/>
        <v>0</v>
      </c>
      <c r="N58" s="42">
        <f t="shared" si="4"/>
        <v>0</v>
      </c>
      <c r="O58" s="42">
        <f t="shared" si="5"/>
        <v>1</v>
      </c>
      <c r="P58" s="42">
        <f t="shared" si="6"/>
        <v>1</v>
      </c>
      <c r="Q58" s="42">
        <f t="shared" si="7"/>
        <v>0</v>
      </c>
      <c r="R58" s="42">
        <f t="shared" si="8"/>
        <v>0</v>
      </c>
      <c r="S58" s="43" t="str">
        <f t="shared" si="9"/>
        <v>DADABOI</v>
      </c>
      <c r="T58" s="41"/>
      <c r="U58" s="28">
        <f t="shared" si="10"/>
        <v>-1</v>
      </c>
      <c r="V58" s="28">
        <f t="shared" ref="V58:W58" si="66">IF($L58=0,"",$I58-$H58)</f>
        <v>1</v>
      </c>
      <c r="W58" s="28">
        <f t="shared" si="66"/>
        <v>1</v>
      </c>
      <c r="X58" s="28">
        <f t="shared" si="12"/>
        <v>-1</v>
      </c>
      <c r="Y58" s="28"/>
      <c r="Z58" s="28"/>
    </row>
    <row r="59" ht="15.75" customHeight="1">
      <c r="A59" s="38">
        <v>57.0</v>
      </c>
      <c r="B59" s="39">
        <v>46055.0</v>
      </c>
      <c r="C59" s="40" t="s">
        <v>97</v>
      </c>
      <c r="D59" s="40" t="s">
        <v>111</v>
      </c>
      <c r="E59" s="40">
        <v>1.0</v>
      </c>
      <c r="F59" s="40">
        <v>4.0</v>
      </c>
      <c r="G59" s="41" t="s">
        <v>5</v>
      </c>
      <c r="H59" s="42">
        <f>IF($G59="Walkover_Home",Settings!$B$10,IF($G59="Walkover_Away",Settings!$B$11,IF($G59="Cancelled","",IF($E59="","",$E59))))</f>
        <v>1</v>
      </c>
      <c r="I59" s="42">
        <f>IF($G59="Walkover_Home",Settings!$B$11,IF($G59="Walkover_Away",Settings!$B$10,IF($G59="Cancelled","",IF($F59="","",$F59))))</f>
        <v>4</v>
      </c>
      <c r="J59" s="42">
        <f>IF($L59=0,"",IF($G59="Walkover_Home",Settings!$B$7,IF($G59="Walkover_Away",Settings!$B$8,IF($H59&gt;$I59,Settings!$B$3,IF($H59&lt;$I59,Settings!$B$4,Settings!$B$5)))))</f>
        <v>0</v>
      </c>
      <c r="K59" s="42">
        <f>IF($L59=0,"",IF($G59="Walkover_Home",Settings!$B$8,IF($G59="Walkover_Away",Settings!$B$7,IF($I59&gt;$H59,Settings!$B$3,IF($I59&lt;$H59,Settings!$B$4,Settings!$B$5)))))</f>
        <v>3</v>
      </c>
      <c r="L59" s="42">
        <f t="shared" si="2"/>
        <v>1</v>
      </c>
      <c r="M59" s="42">
        <f t="shared" si="3"/>
        <v>0</v>
      </c>
      <c r="N59" s="42">
        <f t="shared" si="4"/>
        <v>0</v>
      </c>
      <c r="O59" s="42">
        <f t="shared" si="5"/>
        <v>1</v>
      </c>
      <c r="P59" s="42">
        <f t="shared" si="6"/>
        <v>1</v>
      </c>
      <c r="Q59" s="42">
        <f t="shared" si="7"/>
        <v>0</v>
      </c>
      <c r="R59" s="42">
        <f t="shared" si="8"/>
        <v>0</v>
      </c>
      <c r="S59" s="43" t="str">
        <f t="shared" si="9"/>
        <v>DRACARYS</v>
      </c>
      <c r="T59" s="41"/>
      <c r="U59" s="28">
        <f t="shared" si="10"/>
        <v>-3</v>
      </c>
      <c r="V59" s="28">
        <f t="shared" ref="V59:W59" si="67">IF($L59=0,"",$I59-$H59)</f>
        <v>3</v>
      </c>
      <c r="W59" s="28">
        <f t="shared" si="67"/>
        <v>3</v>
      </c>
      <c r="X59" s="28">
        <f t="shared" si="12"/>
        <v>-3</v>
      </c>
      <c r="Y59" s="28"/>
      <c r="Z59" s="28"/>
    </row>
    <row r="60" ht="15.75" customHeight="1">
      <c r="A60" s="38">
        <v>58.0</v>
      </c>
      <c r="B60" s="39">
        <v>46055.0</v>
      </c>
      <c r="C60" s="40" t="s">
        <v>105</v>
      </c>
      <c r="D60" s="40" t="s">
        <v>107</v>
      </c>
      <c r="E60" s="40">
        <v>6.0</v>
      </c>
      <c r="F60" s="40">
        <v>2.0</v>
      </c>
      <c r="G60" s="41" t="s">
        <v>5</v>
      </c>
      <c r="H60" s="42">
        <f>IF($G60="Walkover_Home",Settings!$B$10,IF($G60="Walkover_Away",Settings!$B$11,IF($G60="Cancelled","",IF($E60="","",$E60))))</f>
        <v>6</v>
      </c>
      <c r="I60" s="42">
        <f>IF($G60="Walkover_Home",Settings!$B$11,IF($G60="Walkover_Away",Settings!$B$10,IF($G60="Cancelled","",IF($F60="","",$F60))))</f>
        <v>2</v>
      </c>
      <c r="J60" s="42">
        <f>IF($L60=0,"",IF($G60="Walkover_Home",Settings!$B$7,IF($G60="Walkover_Away",Settings!$B$8,IF($H60&gt;$I60,Settings!$B$3,IF($H60&lt;$I60,Settings!$B$4,Settings!$B$5)))))</f>
        <v>3</v>
      </c>
      <c r="K60" s="42">
        <f>IF($L60=0,"",IF($G60="Walkover_Home",Settings!$B$8,IF($G60="Walkover_Away",Settings!$B$7,IF($I60&gt;$H60,Settings!$B$3,IF($I60&lt;$H60,Settings!$B$4,Settings!$B$5)))))</f>
        <v>0</v>
      </c>
      <c r="L60" s="42">
        <f t="shared" si="2"/>
        <v>1</v>
      </c>
      <c r="M60" s="42">
        <f t="shared" si="3"/>
        <v>1</v>
      </c>
      <c r="N60" s="42">
        <f t="shared" si="4"/>
        <v>0</v>
      </c>
      <c r="O60" s="42">
        <f t="shared" si="5"/>
        <v>0</v>
      </c>
      <c r="P60" s="42">
        <f t="shared" si="6"/>
        <v>0</v>
      </c>
      <c r="Q60" s="42">
        <f t="shared" si="7"/>
        <v>0</v>
      </c>
      <c r="R60" s="42">
        <f t="shared" si="8"/>
        <v>1</v>
      </c>
      <c r="S60" s="43" t="str">
        <f t="shared" si="9"/>
        <v>RHYMEZ</v>
      </c>
      <c r="T60" s="41"/>
      <c r="U60" s="28">
        <f t="shared" si="10"/>
        <v>4</v>
      </c>
      <c r="V60" s="28">
        <f t="shared" ref="V60:W60" si="68">IF($L60=0,"",$I60-$H60)</f>
        <v>-4</v>
      </c>
      <c r="W60" s="28">
        <f t="shared" si="68"/>
        <v>-4</v>
      </c>
      <c r="X60" s="28">
        <f t="shared" si="12"/>
        <v>4</v>
      </c>
      <c r="Y60" s="28"/>
      <c r="Z60" s="28"/>
    </row>
    <row r="61" ht="15.75" customHeight="1">
      <c r="A61" s="38">
        <v>59.0</v>
      </c>
      <c r="B61" s="39">
        <v>46055.0</v>
      </c>
      <c r="C61" s="40" t="s">
        <v>110</v>
      </c>
      <c r="D61" s="40" t="s">
        <v>100</v>
      </c>
      <c r="E61" s="40">
        <v>3.0</v>
      </c>
      <c r="F61" s="40">
        <v>5.0</v>
      </c>
      <c r="G61" s="41" t="s">
        <v>5</v>
      </c>
      <c r="H61" s="42">
        <f>IF($G61="Walkover_Home",Settings!$B$10,IF($G61="Walkover_Away",Settings!$B$11,IF($G61="Cancelled","",IF($E61="","",$E61))))</f>
        <v>3</v>
      </c>
      <c r="I61" s="42">
        <f>IF($G61="Walkover_Home",Settings!$B$11,IF($G61="Walkover_Away",Settings!$B$10,IF($G61="Cancelled","",IF($F61="","",$F61))))</f>
        <v>5</v>
      </c>
      <c r="J61" s="42">
        <f>IF($L61=0,"",IF($G61="Walkover_Home",Settings!$B$7,IF($G61="Walkover_Away",Settings!$B$8,IF($H61&gt;$I61,Settings!$B$3,IF($H61&lt;$I61,Settings!$B$4,Settings!$B$5)))))</f>
        <v>0</v>
      </c>
      <c r="K61" s="42">
        <f>IF($L61=0,"",IF($G61="Walkover_Home",Settings!$B$8,IF($G61="Walkover_Away",Settings!$B$7,IF($I61&gt;$H61,Settings!$B$3,IF($I61&lt;$H61,Settings!$B$4,Settings!$B$5)))))</f>
        <v>3</v>
      </c>
      <c r="L61" s="42">
        <f t="shared" si="2"/>
        <v>1</v>
      </c>
      <c r="M61" s="42">
        <f t="shared" si="3"/>
        <v>0</v>
      </c>
      <c r="N61" s="42">
        <f t="shared" si="4"/>
        <v>0</v>
      </c>
      <c r="O61" s="42">
        <f t="shared" si="5"/>
        <v>1</v>
      </c>
      <c r="P61" s="42">
        <f t="shared" si="6"/>
        <v>1</v>
      </c>
      <c r="Q61" s="42">
        <f t="shared" si="7"/>
        <v>0</v>
      </c>
      <c r="R61" s="42">
        <f t="shared" si="8"/>
        <v>0</v>
      </c>
      <c r="S61" s="43" t="str">
        <f t="shared" si="9"/>
        <v>TACTICAL</v>
      </c>
      <c r="T61" s="41"/>
      <c r="U61" s="28">
        <f t="shared" si="10"/>
        <v>-2</v>
      </c>
      <c r="V61" s="28">
        <f t="shared" ref="V61:W61" si="69">IF($L61=0,"",$I61-$H61)</f>
        <v>2</v>
      </c>
      <c r="W61" s="28">
        <f t="shared" si="69"/>
        <v>2</v>
      </c>
      <c r="X61" s="28">
        <f t="shared" si="12"/>
        <v>-2</v>
      </c>
      <c r="Y61" s="28"/>
      <c r="Z61" s="28"/>
    </row>
    <row r="62" ht="15.75" customHeight="1">
      <c r="A62" s="38">
        <v>60.0</v>
      </c>
      <c r="B62" s="39">
        <v>46055.0</v>
      </c>
      <c r="C62" s="40" t="s">
        <v>95</v>
      </c>
      <c r="D62" s="40" t="s">
        <v>113</v>
      </c>
      <c r="E62" s="40">
        <v>6.0</v>
      </c>
      <c r="F62" s="40">
        <v>5.0</v>
      </c>
      <c r="G62" s="41" t="s">
        <v>5</v>
      </c>
      <c r="H62" s="42">
        <f>IF($G62="Walkover_Home",Settings!$B$10,IF($G62="Walkover_Away",Settings!$B$11,IF($G62="Cancelled","",IF($E62="","",$E62))))</f>
        <v>6</v>
      </c>
      <c r="I62" s="42">
        <f>IF($G62="Walkover_Home",Settings!$B$11,IF($G62="Walkover_Away",Settings!$B$10,IF($G62="Cancelled","",IF($F62="","",$F62))))</f>
        <v>5</v>
      </c>
      <c r="J62" s="42">
        <f>IF($L62=0,"",IF($G62="Walkover_Home",Settings!$B$7,IF($G62="Walkover_Away",Settings!$B$8,IF($H62&gt;$I62,Settings!$B$3,IF($H62&lt;$I62,Settings!$B$4,Settings!$B$5)))))</f>
        <v>3</v>
      </c>
      <c r="K62" s="42">
        <f>IF($L62=0,"",IF($G62="Walkover_Home",Settings!$B$8,IF($G62="Walkover_Away",Settings!$B$7,IF($I62&gt;$H62,Settings!$B$3,IF($I62&lt;$H62,Settings!$B$4,Settings!$B$5)))))</f>
        <v>0</v>
      </c>
      <c r="L62" s="42">
        <f t="shared" si="2"/>
        <v>1</v>
      </c>
      <c r="M62" s="42">
        <f t="shared" si="3"/>
        <v>1</v>
      </c>
      <c r="N62" s="42">
        <f t="shared" si="4"/>
        <v>0</v>
      </c>
      <c r="O62" s="42">
        <f t="shared" si="5"/>
        <v>0</v>
      </c>
      <c r="P62" s="42">
        <f t="shared" si="6"/>
        <v>0</v>
      </c>
      <c r="Q62" s="42">
        <f t="shared" si="7"/>
        <v>0</v>
      </c>
      <c r="R62" s="42">
        <f t="shared" si="8"/>
        <v>1</v>
      </c>
      <c r="S62" s="43" t="str">
        <f t="shared" si="9"/>
        <v>MR OGA</v>
      </c>
      <c r="T62" s="41"/>
      <c r="U62" s="28">
        <f t="shared" si="10"/>
        <v>1</v>
      </c>
      <c r="V62" s="28">
        <f t="shared" ref="V62:W62" si="70">IF($L62=0,"",$I62-$H62)</f>
        <v>-1</v>
      </c>
      <c r="W62" s="28">
        <f t="shared" si="70"/>
        <v>-1</v>
      </c>
      <c r="X62" s="28">
        <f t="shared" si="12"/>
        <v>1</v>
      </c>
      <c r="Y62" s="28"/>
      <c r="Z62" s="28"/>
    </row>
    <row r="63" ht="15.75" customHeight="1">
      <c r="A63" s="38">
        <v>61.0</v>
      </c>
      <c r="B63" s="39">
        <v>46055.0</v>
      </c>
      <c r="C63" s="40" t="s">
        <v>96</v>
      </c>
      <c r="D63" s="40" t="s">
        <v>99</v>
      </c>
      <c r="E63" s="40">
        <v>7.0</v>
      </c>
      <c r="F63" s="40">
        <v>6.0</v>
      </c>
      <c r="G63" s="41" t="s">
        <v>5</v>
      </c>
      <c r="H63" s="42">
        <f>IF($G63="Walkover_Home",Settings!$B$10,IF($G63="Walkover_Away",Settings!$B$11,IF($G63="Cancelled","",IF($E63="","",$E63))))</f>
        <v>7</v>
      </c>
      <c r="I63" s="42">
        <f>IF($G63="Walkover_Home",Settings!$B$11,IF($G63="Walkover_Away",Settings!$B$10,IF($G63="Cancelled","",IF($F63="","",$F63))))</f>
        <v>6</v>
      </c>
      <c r="J63" s="42">
        <f>IF($L63=0,"",IF($G63="Walkover_Home",Settings!$B$7,IF($G63="Walkover_Away",Settings!$B$8,IF($H63&gt;$I63,Settings!$B$3,IF($H63&lt;$I63,Settings!$B$4,Settings!$B$5)))))</f>
        <v>3</v>
      </c>
      <c r="K63" s="42">
        <f>IF($L63=0,"",IF($G63="Walkover_Home",Settings!$B$8,IF($G63="Walkover_Away",Settings!$B$7,IF($I63&gt;$H63,Settings!$B$3,IF($I63&lt;$H63,Settings!$B$4,Settings!$B$5)))))</f>
        <v>0</v>
      </c>
      <c r="L63" s="42">
        <f t="shared" si="2"/>
        <v>1</v>
      </c>
      <c r="M63" s="42">
        <f t="shared" si="3"/>
        <v>1</v>
      </c>
      <c r="N63" s="42">
        <f t="shared" si="4"/>
        <v>0</v>
      </c>
      <c r="O63" s="42">
        <f t="shared" si="5"/>
        <v>0</v>
      </c>
      <c r="P63" s="42">
        <f t="shared" si="6"/>
        <v>0</v>
      </c>
      <c r="Q63" s="42">
        <f t="shared" si="7"/>
        <v>0</v>
      </c>
      <c r="R63" s="42">
        <f t="shared" si="8"/>
        <v>1</v>
      </c>
      <c r="S63" s="43" t="str">
        <f t="shared" si="9"/>
        <v>ANIFE</v>
      </c>
      <c r="T63" s="41"/>
      <c r="U63" s="28">
        <f t="shared" si="10"/>
        <v>1</v>
      </c>
      <c r="V63" s="28">
        <f t="shared" ref="V63:W63" si="71">IF($L63=0,"",$I63-$H63)</f>
        <v>-1</v>
      </c>
      <c r="W63" s="28">
        <f t="shared" si="71"/>
        <v>-1</v>
      </c>
      <c r="X63" s="28">
        <f t="shared" si="12"/>
        <v>1</v>
      </c>
      <c r="Y63" s="28"/>
      <c r="Z63" s="28"/>
    </row>
    <row r="64" ht="15.75" customHeight="1">
      <c r="A64" s="38">
        <v>62.0</v>
      </c>
      <c r="B64" s="39">
        <v>46055.0</v>
      </c>
      <c r="C64" s="40" t="s">
        <v>105</v>
      </c>
      <c r="D64" s="40" t="s">
        <v>97</v>
      </c>
      <c r="E64" s="40">
        <v>6.0</v>
      </c>
      <c r="F64" s="40">
        <v>4.0</v>
      </c>
      <c r="G64" s="41" t="s">
        <v>5</v>
      </c>
      <c r="H64" s="42">
        <f>IF($G64="Walkover_Home",Settings!$B$10,IF($G64="Walkover_Away",Settings!$B$11,IF($G64="Cancelled","",IF($E64="","",$E64))))</f>
        <v>6</v>
      </c>
      <c r="I64" s="42">
        <f>IF($G64="Walkover_Home",Settings!$B$11,IF($G64="Walkover_Away",Settings!$B$10,IF($G64="Cancelled","",IF($F64="","",$F64))))</f>
        <v>4</v>
      </c>
      <c r="J64" s="42">
        <f>IF($L64=0,"",IF($G64="Walkover_Home",Settings!$B$7,IF($G64="Walkover_Away",Settings!$B$8,IF($H64&gt;$I64,Settings!$B$3,IF($H64&lt;$I64,Settings!$B$4,Settings!$B$5)))))</f>
        <v>3</v>
      </c>
      <c r="K64" s="42">
        <f>IF($L64=0,"",IF($G64="Walkover_Home",Settings!$B$8,IF($G64="Walkover_Away",Settings!$B$7,IF($I64&gt;$H64,Settings!$B$3,IF($I64&lt;$H64,Settings!$B$4,Settings!$B$5)))))</f>
        <v>0</v>
      </c>
      <c r="L64" s="42">
        <f t="shared" si="2"/>
        <v>1</v>
      </c>
      <c r="M64" s="42">
        <f t="shared" si="3"/>
        <v>1</v>
      </c>
      <c r="N64" s="42">
        <f t="shared" si="4"/>
        <v>0</v>
      </c>
      <c r="O64" s="42">
        <f t="shared" si="5"/>
        <v>0</v>
      </c>
      <c r="P64" s="42">
        <f t="shared" si="6"/>
        <v>0</v>
      </c>
      <c r="Q64" s="42">
        <f t="shared" si="7"/>
        <v>0</v>
      </c>
      <c r="R64" s="42">
        <f t="shared" si="8"/>
        <v>1</v>
      </c>
      <c r="S64" s="43" t="str">
        <f t="shared" si="9"/>
        <v>RHYMEZ</v>
      </c>
      <c r="T64" s="41"/>
      <c r="U64" s="28">
        <f t="shared" si="10"/>
        <v>2</v>
      </c>
      <c r="V64" s="28">
        <f t="shared" ref="V64:W64" si="72">IF($L64=0,"",$I64-$H64)</f>
        <v>-2</v>
      </c>
      <c r="W64" s="28">
        <f t="shared" si="72"/>
        <v>-2</v>
      </c>
      <c r="X64" s="28">
        <f t="shared" si="12"/>
        <v>2</v>
      </c>
      <c r="Y64" s="28"/>
      <c r="Z64" s="28"/>
    </row>
    <row r="65" ht="15.75" customHeight="1">
      <c r="A65" s="38">
        <v>63.0</v>
      </c>
      <c r="B65" s="39">
        <v>46055.0</v>
      </c>
      <c r="C65" s="40" t="s">
        <v>99</v>
      </c>
      <c r="D65" s="40" t="s">
        <v>112</v>
      </c>
      <c r="E65" s="40">
        <v>6.0</v>
      </c>
      <c r="F65" s="40">
        <v>3.0</v>
      </c>
      <c r="G65" s="41" t="s">
        <v>5</v>
      </c>
      <c r="H65" s="42">
        <f>IF($G65="Walkover_Home",Settings!$B$10,IF($G65="Walkover_Away",Settings!$B$11,IF($G65="Cancelled","",IF($E65="","",$E65))))</f>
        <v>6</v>
      </c>
      <c r="I65" s="42">
        <f>IF($G65="Walkover_Home",Settings!$B$11,IF($G65="Walkover_Away",Settings!$B$10,IF($G65="Cancelled","",IF($F65="","",$F65))))</f>
        <v>3</v>
      </c>
      <c r="J65" s="42">
        <f>IF($L65=0,"",IF($G65="Walkover_Home",Settings!$B$7,IF($G65="Walkover_Away",Settings!$B$8,IF($H65&gt;$I65,Settings!$B$3,IF($H65&lt;$I65,Settings!$B$4,Settings!$B$5)))))</f>
        <v>3</v>
      </c>
      <c r="K65" s="42">
        <f>IF($L65=0,"",IF($G65="Walkover_Home",Settings!$B$8,IF($G65="Walkover_Away",Settings!$B$7,IF($I65&gt;$H65,Settings!$B$3,IF($I65&lt;$H65,Settings!$B$4,Settings!$B$5)))))</f>
        <v>0</v>
      </c>
      <c r="L65" s="42">
        <f t="shared" si="2"/>
        <v>1</v>
      </c>
      <c r="M65" s="42">
        <f t="shared" si="3"/>
        <v>1</v>
      </c>
      <c r="N65" s="42">
        <f t="shared" si="4"/>
        <v>0</v>
      </c>
      <c r="O65" s="42">
        <f t="shared" si="5"/>
        <v>0</v>
      </c>
      <c r="P65" s="42">
        <f t="shared" si="6"/>
        <v>0</v>
      </c>
      <c r="Q65" s="42">
        <f t="shared" si="7"/>
        <v>0</v>
      </c>
      <c r="R65" s="42">
        <f t="shared" si="8"/>
        <v>1</v>
      </c>
      <c r="S65" s="43" t="str">
        <f t="shared" si="9"/>
        <v>KAYKAY</v>
      </c>
      <c r="T65" s="41"/>
      <c r="U65" s="28">
        <f t="shared" si="10"/>
        <v>3</v>
      </c>
      <c r="V65" s="28">
        <f t="shared" ref="V65:W65" si="73">IF($L65=0,"",$I65-$H65)</f>
        <v>-3</v>
      </c>
      <c r="W65" s="28">
        <f t="shared" si="73"/>
        <v>-3</v>
      </c>
      <c r="X65" s="28">
        <f t="shared" si="12"/>
        <v>3</v>
      </c>
      <c r="Y65" s="28"/>
      <c r="Z65" s="28"/>
    </row>
    <row r="66" ht="15.75" customHeight="1">
      <c r="A66" s="38">
        <v>64.0</v>
      </c>
      <c r="B66" s="39">
        <v>46055.0</v>
      </c>
      <c r="C66" s="40" t="s">
        <v>109</v>
      </c>
      <c r="D66" s="40" t="s">
        <v>102</v>
      </c>
      <c r="E66" s="40">
        <v>3.0</v>
      </c>
      <c r="F66" s="40">
        <v>3.0</v>
      </c>
      <c r="G66" s="41" t="s">
        <v>5</v>
      </c>
      <c r="H66" s="42">
        <f>IF($G66="Walkover_Home",Settings!$B$10,IF($G66="Walkover_Away",Settings!$B$11,IF($G66="Cancelled","",IF($E66="","",$E66))))</f>
        <v>3</v>
      </c>
      <c r="I66" s="42">
        <f>IF($G66="Walkover_Home",Settings!$B$11,IF($G66="Walkover_Away",Settings!$B$10,IF($G66="Cancelled","",IF($F66="","",$F66))))</f>
        <v>3</v>
      </c>
      <c r="J66" s="42">
        <f>IF($L66=0,"",IF($G66="Walkover_Home",Settings!$B$7,IF($G66="Walkover_Away",Settings!$B$8,IF($H66&gt;$I66,Settings!$B$3,IF($H66&lt;$I66,Settings!$B$4,Settings!$B$5)))))</f>
        <v>1</v>
      </c>
      <c r="K66" s="42">
        <f>IF($L66=0,"",IF($G66="Walkover_Home",Settings!$B$8,IF($G66="Walkover_Away",Settings!$B$7,IF($I66&gt;$H66,Settings!$B$3,IF($I66&lt;$H66,Settings!$B$4,Settings!$B$5)))))</f>
        <v>1</v>
      </c>
      <c r="L66" s="42">
        <f t="shared" si="2"/>
        <v>1</v>
      </c>
      <c r="M66" s="42">
        <f t="shared" si="3"/>
        <v>0</v>
      </c>
      <c r="N66" s="42">
        <f t="shared" si="4"/>
        <v>1</v>
      </c>
      <c r="O66" s="42">
        <f t="shared" si="5"/>
        <v>0</v>
      </c>
      <c r="P66" s="42">
        <f t="shared" si="6"/>
        <v>0</v>
      </c>
      <c r="Q66" s="42">
        <f t="shared" si="7"/>
        <v>1</v>
      </c>
      <c r="R66" s="42">
        <f t="shared" si="8"/>
        <v>0</v>
      </c>
      <c r="S66" s="43" t="str">
        <f t="shared" si="9"/>
        <v>Draw</v>
      </c>
      <c r="T66" s="41"/>
      <c r="U66" s="28">
        <f t="shared" si="10"/>
        <v>0</v>
      </c>
      <c r="V66" s="28">
        <f t="shared" ref="V66:W66" si="74">IF($L66=0,"",$I66-$H66)</f>
        <v>0</v>
      </c>
      <c r="W66" s="28">
        <f t="shared" si="74"/>
        <v>0</v>
      </c>
      <c r="X66" s="28">
        <f t="shared" si="12"/>
        <v>0</v>
      </c>
      <c r="Y66" s="28"/>
      <c r="Z66" s="28"/>
    </row>
    <row r="67" ht="15.75" customHeight="1">
      <c r="A67" s="38">
        <v>65.0</v>
      </c>
      <c r="B67" s="39">
        <v>46055.0</v>
      </c>
      <c r="C67" s="40" t="s">
        <v>101</v>
      </c>
      <c r="D67" s="40" t="s">
        <v>114</v>
      </c>
      <c r="E67" s="40">
        <v>0.0</v>
      </c>
      <c r="F67" s="40">
        <v>5.0</v>
      </c>
      <c r="G67" s="41" t="s">
        <v>5</v>
      </c>
      <c r="H67" s="42">
        <f>IF($G67="Walkover_Home",Settings!$B$10,IF($G67="Walkover_Away",Settings!$B$11,IF($G67="Cancelled","",IF($E67="","",$E67))))</f>
        <v>0</v>
      </c>
      <c r="I67" s="42">
        <f>IF($G67="Walkover_Home",Settings!$B$11,IF($G67="Walkover_Away",Settings!$B$10,IF($G67="Cancelled","",IF($F67="","",$F67))))</f>
        <v>5</v>
      </c>
      <c r="J67" s="42">
        <f>IF($L67=0,"",IF($G67="Walkover_Home",Settings!$B$7,IF($G67="Walkover_Away",Settings!$B$8,IF($H67&gt;$I67,Settings!$B$3,IF($H67&lt;$I67,Settings!$B$4,Settings!$B$5)))))</f>
        <v>0</v>
      </c>
      <c r="K67" s="42">
        <f>IF($L67=0,"",IF($G67="Walkover_Home",Settings!$B$8,IF($G67="Walkover_Away",Settings!$B$7,IF($I67&gt;$H67,Settings!$B$3,IF($I67&lt;$H67,Settings!$B$4,Settings!$B$5)))))</f>
        <v>3</v>
      </c>
      <c r="L67" s="42">
        <f t="shared" si="2"/>
        <v>1</v>
      </c>
      <c r="M67" s="42">
        <f t="shared" si="3"/>
        <v>0</v>
      </c>
      <c r="N67" s="42">
        <f t="shared" si="4"/>
        <v>0</v>
      </c>
      <c r="O67" s="42">
        <f t="shared" si="5"/>
        <v>1</v>
      </c>
      <c r="P67" s="42">
        <f t="shared" si="6"/>
        <v>1</v>
      </c>
      <c r="Q67" s="42">
        <f t="shared" si="7"/>
        <v>0</v>
      </c>
      <c r="R67" s="42">
        <f t="shared" si="8"/>
        <v>0</v>
      </c>
      <c r="S67" s="43" t="str">
        <f t="shared" si="9"/>
        <v>KINGNONEX</v>
      </c>
      <c r="T67" s="41"/>
      <c r="U67" s="28">
        <f t="shared" si="10"/>
        <v>-5</v>
      </c>
      <c r="V67" s="28">
        <f t="shared" ref="V67:W67" si="75">IF($L67=0,"",$I67-$H67)</f>
        <v>5</v>
      </c>
      <c r="W67" s="28">
        <f t="shared" si="75"/>
        <v>5</v>
      </c>
      <c r="X67" s="28">
        <f t="shared" si="12"/>
        <v>-5</v>
      </c>
      <c r="Y67" s="28"/>
      <c r="Z67" s="28"/>
    </row>
    <row r="68" ht="15.75" customHeight="1">
      <c r="A68" s="38">
        <v>66.0</v>
      </c>
      <c r="B68" s="39">
        <v>46055.0</v>
      </c>
      <c r="C68" s="40" t="s">
        <v>98</v>
      </c>
      <c r="D68" s="40" t="s">
        <v>103</v>
      </c>
      <c r="E68" s="40">
        <v>16.0</v>
      </c>
      <c r="F68" s="40">
        <v>3.0</v>
      </c>
      <c r="G68" s="41" t="s">
        <v>5</v>
      </c>
      <c r="H68" s="42">
        <f>IF($G68="Walkover_Home",Settings!$B$10,IF($G68="Walkover_Away",Settings!$B$11,IF($G68="Cancelled","",IF($E68="","",$E68))))</f>
        <v>16</v>
      </c>
      <c r="I68" s="42">
        <f>IF($G68="Walkover_Home",Settings!$B$11,IF($G68="Walkover_Away",Settings!$B$10,IF($G68="Cancelled","",IF($F68="","",$F68))))</f>
        <v>3</v>
      </c>
      <c r="J68" s="42">
        <f>IF($L68=0,"",IF($G68="Walkover_Home",Settings!$B$7,IF($G68="Walkover_Away",Settings!$B$8,IF($H68&gt;$I68,Settings!$B$3,IF($H68&lt;$I68,Settings!$B$4,Settings!$B$5)))))</f>
        <v>3</v>
      </c>
      <c r="K68" s="42">
        <f>IF($L68=0,"",IF($G68="Walkover_Home",Settings!$B$8,IF($G68="Walkover_Away",Settings!$B$7,IF($I68&gt;$H68,Settings!$B$3,IF($I68&lt;$H68,Settings!$B$4,Settings!$B$5)))))</f>
        <v>0</v>
      </c>
      <c r="L68" s="42">
        <f t="shared" si="2"/>
        <v>1</v>
      </c>
      <c r="M68" s="42">
        <f t="shared" si="3"/>
        <v>1</v>
      </c>
      <c r="N68" s="42">
        <f t="shared" si="4"/>
        <v>0</v>
      </c>
      <c r="O68" s="42">
        <f t="shared" si="5"/>
        <v>0</v>
      </c>
      <c r="P68" s="42">
        <f t="shared" si="6"/>
        <v>0</v>
      </c>
      <c r="Q68" s="42">
        <f t="shared" si="7"/>
        <v>0</v>
      </c>
      <c r="R68" s="42">
        <f t="shared" si="8"/>
        <v>1</v>
      </c>
      <c r="S68" s="43" t="str">
        <f t="shared" si="9"/>
        <v>GURU</v>
      </c>
      <c r="T68" s="41"/>
      <c r="U68" s="28">
        <f t="shared" si="10"/>
        <v>13</v>
      </c>
      <c r="V68" s="28">
        <f t="shared" ref="V68:W68" si="76">IF($L68=0,"",$I68-$H68)</f>
        <v>-13</v>
      </c>
      <c r="W68" s="28">
        <f t="shared" si="76"/>
        <v>-13</v>
      </c>
      <c r="X68" s="28">
        <f t="shared" si="12"/>
        <v>13</v>
      </c>
      <c r="Y68" s="28"/>
      <c r="Z68" s="28"/>
    </row>
    <row r="69" ht="15.75" customHeight="1">
      <c r="A69" s="38">
        <v>67.0</v>
      </c>
      <c r="B69" s="39">
        <v>46055.0</v>
      </c>
      <c r="C69" s="40" t="s">
        <v>104</v>
      </c>
      <c r="D69" s="40" t="s">
        <v>110</v>
      </c>
      <c r="E69" s="40">
        <v>6.0</v>
      </c>
      <c r="F69" s="40">
        <v>7.0</v>
      </c>
      <c r="G69" s="41" t="s">
        <v>5</v>
      </c>
      <c r="H69" s="42">
        <f>IF($G69="Walkover_Home",Settings!$B$10,IF($G69="Walkover_Away",Settings!$B$11,IF($G69="Cancelled","",IF($E69="","",$E69))))</f>
        <v>6</v>
      </c>
      <c r="I69" s="42">
        <f>IF($G69="Walkover_Home",Settings!$B$11,IF($G69="Walkover_Away",Settings!$B$10,IF($G69="Cancelled","",IF($F69="","",$F69))))</f>
        <v>7</v>
      </c>
      <c r="J69" s="42">
        <f>IF($L69=0,"",IF($G69="Walkover_Home",Settings!$B$7,IF($G69="Walkover_Away",Settings!$B$8,IF($H69&gt;$I69,Settings!$B$3,IF($H69&lt;$I69,Settings!$B$4,Settings!$B$5)))))</f>
        <v>0</v>
      </c>
      <c r="K69" s="42">
        <f>IF($L69=0,"",IF($G69="Walkover_Home",Settings!$B$8,IF($G69="Walkover_Away",Settings!$B$7,IF($I69&gt;$H69,Settings!$B$3,IF($I69&lt;$H69,Settings!$B$4,Settings!$B$5)))))</f>
        <v>3</v>
      </c>
      <c r="L69" s="42">
        <f t="shared" si="2"/>
        <v>1</v>
      </c>
      <c r="M69" s="42">
        <f t="shared" si="3"/>
        <v>0</v>
      </c>
      <c r="N69" s="42">
        <f t="shared" si="4"/>
        <v>0</v>
      </c>
      <c r="O69" s="42">
        <f t="shared" si="5"/>
        <v>1</v>
      </c>
      <c r="P69" s="42">
        <f t="shared" si="6"/>
        <v>1</v>
      </c>
      <c r="Q69" s="42">
        <f t="shared" si="7"/>
        <v>0</v>
      </c>
      <c r="R69" s="42">
        <f t="shared" si="8"/>
        <v>0</v>
      </c>
      <c r="S69" s="43" t="str">
        <f t="shared" si="9"/>
        <v>SON OF GOD</v>
      </c>
      <c r="T69" s="41"/>
      <c r="U69" s="28">
        <f t="shared" si="10"/>
        <v>-1</v>
      </c>
      <c r="V69" s="28">
        <f t="shared" ref="V69:W69" si="77">IF($L69=0,"",$I69-$H69)</f>
        <v>1</v>
      </c>
      <c r="W69" s="28">
        <f t="shared" si="77"/>
        <v>1</v>
      </c>
      <c r="X69" s="28">
        <f t="shared" si="12"/>
        <v>-1</v>
      </c>
      <c r="Y69" s="28"/>
      <c r="Z69" s="28"/>
    </row>
    <row r="70" ht="15.75" customHeight="1">
      <c r="A70" s="38">
        <v>68.0</v>
      </c>
      <c r="B70" s="39">
        <v>46055.0</v>
      </c>
      <c r="C70" s="40" t="s">
        <v>113</v>
      </c>
      <c r="D70" s="40" t="s">
        <v>101</v>
      </c>
      <c r="E70" s="40">
        <v>6.0</v>
      </c>
      <c r="F70" s="40">
        <v>3.0</v>
      </c>
      <c r="G70" s="41" t="s">
        <v>5</v>
      </c>
      <c r="H70" s="42">
        <f>IF($G70="Walkover_Home",Settings!$B$10,IF($G70="Walkover_Away",Settings!$B$11,IF($G70="Cancelled","",IF($E70="","",$E70))))</f>
        <v>6</v>
      </c>
      <c r="I70" s="42">
        <f>IF($G70="Walkover_Home",Settings!$B$11,IF($G70="Walkover_Away",Settings!$B$10,IF($G70="Cancelled","",IF($F70="","",$F70))))</f>
        <v>3</v>
      </c>
      <c r="J70" s="42">
        <f>IF($L70=0,"",IF($G70="Walkover_Home",Settings!$B$7,IF($G70="Walkover_Away",Settings!$B$8,IF($H70&gt;$I70,Settings!$B$3,IF($H70&lt;$I70,Settings!$B$4,Settings!$B$5)))))</f>
        <v>3</v>
      </c>
      <c r="K70" s="42">
        <f>IF($L70=0,"",IF($G70="Walkover_Home",Settings!$B$8,IF($G70="Walkover_Away",Settings!$B$7,IF($I70&gt;$H70,Settings!$B$3,IF($I70&lt;$H70,Settings!$B$4,Settings!$B$5)))))</f>
        <v>0</v>
      </c>
      <c r="L70" s="42">
        <f t="shared" si="2"/>
        <v>1</v>
      </c>
      <c r="M70" s="42">
        <f t="shared" si="3"/>
        <v>1</v>
      </c>
      <c r="N70" s="42">
        <f t="shared" si="4"/>
        <v>0</v>
      </c>
      <c r="O70" s="42">
        <f t="shared" si="5"/>
        <v>0</v>
      </c>
      <c r="P70" s="42">
        <f t="shared" si="6"/>
        <v>0</v>
      </c>
      <c r="Q70" s="42">
        <f t="shared" si="7"/>
        <v>0</v>
      </c>
      <c r="R70" s="42">
        <f t="shared" si="8"/>
        <v>1</v>
      </c>
      <c r="S70" s="43" t="str">
        <f t="shared" si="9"/>
        <v>BRIGHT</v>
      </c>
      <c r="T70" s="41"/>
      <c r="U70" s="28">
        <f t="shared" si="10"/>
        <v>3</v>
      </c>
      <c r="V70" s="28">
        <f t="shared" ref="V70:W70" si="78">IF($L70=0,"",$I70-$H70)</f>
        <v>-3</v>
      </c>
      <c r="W70" s="28">
        <f t="shared" si="78"/>
        <v>-3</v>
      </c>
      <c r="X70" s="28">
        <f t="shared" si="12"/>
        <v>3</v>
      </c>
      <c r="Y70" s="28"/>
      <c r="Z70" s="28"/>
    </row>
    <row r="71" ht="15.75" customHeight="1">
      <c r="A71" s="38">
        <v>69.0</v>
      </c>
      <c r="B71" s="39">
        <v>46061.0</v>
      </c>
      <c r="C71" s="40" t="s">
        <v>95</v>
      </c>
      <c r="D71" s="40" t="s">
        <v>104</v>
      </c>
      <c r="E71" s="40">
        <v>6.0</v>
      </c>
      <c r="F71" s="40">
        <v>5.0</v>
      </c>
      <c r="G71" s="41" t="s">
        <v>5</v>
      </c>
      <c r="H71" s="42">
        <f>IF($G71="Walkover_Home",Settings!$B$10,IF($G71="Walkover_Away",Settings!$B$11,IF($G71="Cancelled","",IF($E71="","",$E71))))</f>
        <v>6</v>
      </c>
      <c r="I71" s="42">
        <f>IF($G71="Walkover_Home",Settings!$B$11,IF($G71="Walkover_Away",Settings!$B$10,IF($G71="Cancelled","",IF($F71="","",$F71))))</f>
        <v>5</v>
      </c>
      <c r="J71" s="42">
        <f>IF($L71=0,"",IF($G71="Walkover_Home",Settings!$B$7,IF($G71="Walkover_Away",Settings!$B$8,IF($H71&gt;$I71,Settings!$B$3,IF($H71&lt;$I71,Settings!$B$4,Settings!$B$5)))))</f>
        <v>3</v>
      </c>
      <c r="K71" s="42">
        <f>IF($L71=0,"",IF($G71="Walkover_Home",Settings!$B$8,IF($G71="Walkover_Away",Settings!$B$7,IF($I71&gt;$H71,Settings!$B$3,IF($I71&lt;$H71,Settings!$B$4,Settings!$B$5)))))</f>
        <v>0</v>
      </c>
      <c r="L71" s="42">
        <f t="shared" si="2"/>
        <v>1</v>
      </c>
      <c r="M71" s="42">
        <f t="shared" si="3"/>
        <v>1</v>
      </c>
      <c r="N71" s="42">
        <f t="shared" si="4"/>
        <v>0</v>
      </c>
      <c r="O71" s="42">
        <f t="shared" si="5"/>
        <v>0</v>
      </c>
      <c r="P71" s="42">
        <f t="shared" si="6"/>
        <v>0</v>
      </c>
      <c r="Q71" s="42">
        <f t="shared" si="7"/>
        <v>0</v>
      </c>
      <c r="R71" s="42">
        <f t="shared" si="8"/>
        <v>1</v>
      </c>
      <c r="S71" s="43" t="str">
        <f t="shared" si="9"/>
        <v>MR OGA</v>
      </c>
      <c r="T71" s="41"/>
      <c r="U71" s="28">
        <f t="shared" si="10"/>
        <v>1</v>
      </c>
      <c r="V71" s="28">
        <f t="shared" ref="V71:W71" si="79">IF($L71=0,"",$I71-$H71)</f>
        <v>-1</v>
      </c>
      <c r="W71" s="28">
        <f t="shared" si="79"/>
        <v>-1</v>
      </c>
      <c r="X71" s="28">
        <f t="shared" si="12"/>
        <v>1</v>
      </c>
      <c r="Y71" s="28"/>
      <c r="Z71" s="28"/>
    </row>
    <row r="72" ht="15.75" customHeight="1">
      <c r="A72" s="38">
        <v>70.0</v>
      </c>
      <c r="B72" s="39">
        <v>46061.0</v>
      </c>
      <c r="C72" s="40" t="s">
        <v>107</v>
      </c>
      <c r="D72" s="40" t="s">
        <v>112</v>
      </c>
      <c r="E72" s="40">
        <v>4.0</v>
      </c>
      <c r="F72" s="40">
        <v>8.0</v>
      </c>
      <c r="G72" s="41" t="s">
        <v>5</v>
      </c>
      <c r="H72" s="42">
        <f>IF($G72="Walkover_Home",Settings!$B$10,IF($G72="Walkover_Away",Settings!$B$11,IF($G72="Cancelled","",IF($E72="","",$E72))))</f>
        <v>4</v>
      </c>
      <c r="I72" s="42">
        <f>IF($G72="Walkover_Home",Settings!$B$11,IF($G72="Walkover_Away",Settings!$B$10,IF($G72="Cancelled","",IF($F72="","",$F72))))</f>
        <v>8</v>
      </c>
      <c r="J72" s="42">
        <f>IF($L72=0,"",IF($G72="Walkover_Home",Settings!$B$7,IF($G72="Walkover_Away",Settings!$B$8,IF($H72&gt;$I72,Settings!$B$3,IF($H72&lt;$I72,Settings!$B$4,Settings!$B$5)))))</f>
        <v>0</v>
      </c>
      <c r="K72" s="42">
        <f>IF($L72=0,"",IF($G72="Walkover_Home",Settings!$B$8,IF($G72="Walkover_Away",Settings!$B$7,IF($I72&gt;$H72,Settings!$B$3,IF($I72&lt;$H72,Settings!$B$4,Settings!$B$5)))))</f>
        <v>3</v>
      </c>
      <c r="L72" s="42">
        <f t="shared" si="2"/>
        <v>1</v>
      </c>
      <c r="M72" s="42">
        <f t="shared" si="3"/>
        <v>0</v>
      </c>
      <c r="N72" s="42">
        <f t="shared" si="4"/>
        <v>0</v>
      </c>
      <c r="O72" s="42">
        <f t="shared" si="5"/>
        <v>1</v>
      </c>
      <c r="P72" s="42">
        <f t="shared" si="6"/>
        <v>1</v>
      </c>
      <c r="Q72" s="42">
        <f t="shared" si="7"/>
        <v>0</v>
      </c>
      <c r="R72" s="42">
        <f t="shared" si="8"/>
        <v>0</v>
      </c>
      <c r="S72" s="43" t="str">
        <f t="shared" si="9"/>
        <v>FLICK</v>
      </c>
      <c r="T72" s="41"/>
      <c r="U72" s="28">
        <f t="shared" si="10"/>
        <v>-4</v>
      </c>
      <c r="V72" s="28">
        <f t="shared" ref="V72:W72" si="80">IF($L72=0,"",$I72-$H72)</f>
        <v>4</v>
      </c>
      <c r="W72" s="28">
        <f t="shared" si="80"/>
        <v>4</v>
      </c>
      <c r="X72" s="28">
        <f t="shared" si="12"/>
        <v>-4</v>
      </c>
      <c r="Y72" s="28"/>
      <c r="Z72" s="28"/>
    </row>
    <row r="73" ht="15.75" customHeight="1">
      <c r="A73" s="38">
        <v>71.0</v>
      </c>
      <c r="B73" s="39">
        <v>46061.0</v>
      </c>
      <c r="C73" s="40" t="s">
        <v>108</v>
      </c>
      <c r="D73" s="40" t="s">
        <v>102</v>
      </c>
      <c r="E73" s="40">
        <v>5.0</v>
      </c>
      <c r="F73" s="40">
        <v>7.0</v>
      </c>
      <c r="G73" s="41" t="s">
        <v>5</v>
      </c>
      <c r="H73" s="42">
        <f>IF($G73="Walkover_Home",Settings!$B$10,IF($G73="Walkover_Away",Settings!$B$11,IF($G73="Cancelled","",IF($E73="","",$E73))))</f>
        <v>5</v>
      </c>
      <c r="I73" s="42">
        <f>IF($G73="Walkover_Home",Settings!$B$11,IF($G73="Walkover_Away",Settings!$B$10,IF($G73="Cancelled","",IF($F73="","",$F73))))</f>
        <v>7</v>
      </c>
      <c r="J73" s="42">
        <f>IF($L73=0,"",IF($G73="Walkover_Home",Settings!$B$7,IF($G73="Walkover_Away",Settings!$B$8,IF($H73&gt;$I73,Settings!$B$3,IF($H73&lt;$I73,Settings!$B$4,Settings!$B$5)))))</f>
        <v>0</v>
      </c>
      <c r="K73" s="42">
        <f>IF($L73=0,"",IF($G73="Walkover_Home",Settings!$B$8,IF($G73="Walkover_Away",Settings!$B$7,IF($I73&gt;$H73,Settings!$B$3,IF($I73&lt;$H73,Settings!$B$4,Settings!$B$5)))))</f>
        <v>3</v>
      </c>
      <c r="L73" s="42">
        <f t="shared" si="2"/>
        <v>1</v>
      </c>
      <c r="M73" s="42">
        <f t="shared" si="3"/>
        <v>0</v>
      </c>
      <c r="N73" s="42">
        <f t="shared" si="4"/>
        <v>0</v>
      </c>
      <c r="O73" s="42">
        <f t="shared" si="5"/>
        <v>1</v>
      </c>
      <c r="P73" s="42">
        <f t="shared" si="6"/>
        <v>1</v>
      </c>
      <c r="Q73" s="42">
        <f t="shared" si="7"/>
        <v>0</v>
      </c>
      <c r="R73" s="42">
        <f t="shared" si="8"/>
        <v>0</v>
      </c>
      <c r="S73" s="43" t="str">
        <f t="shared" si="9"/>
        <v>KHALEEDOY</v>
      </c>
      <c r="T73" s="41"/>
      <c r="U73" s="28">
        <f t="shared" si="10"/>
        <v>-2</v>
      </c>
      <c r="V73" s="28">
        <f t="shared" ref="V73:W73" si="81">IF($L73=0,"",$I73-$H73)</f>
        <v>2</v>
      </c>
      <c r="W73" s="28">
        <f t="shared" si="81"/>
        <v>2</v>
      </c>
      <c r="X73" s="28">
        <f t="shared" si="12"/>
        <v>-2</v>
      </c>
      <c r="Y73" s="28"/>
      <c r="Z73" s="28"/>
    </row>
    <row r="74" ht="15.75" customHeight="1">
      <c r="A74" s="38">
        <v>72.0</v>
      </c>
      <c r="B74" s="39">
        <v>46061.0</v>
      </c>
      <c r="C74" s="40" t="s">
        <v>98</v>
      </c>
      <c r="D74" s="40" t="s">
        <v>106</v>
      </c>
      <c r="E74" s="40">
        <v>6.0</v>
      </c>
      <c r="F74" s="40">
        <v>6.0</v>
      </c>
      <c r="G74" s="41" t="s">
        <v>5</v>
      </c>
      <c r="H74" s="42">
        <f>IF($G74="Walkover_Home",Settings!$B$10,IF($G74="Walkover_Away",Settings!$B$11,IF($G74="Cancelled","",IF($E74="","",$E74))))</f>
        <v>6</v>
      </c>
      <c r="I74" s="42">
        <f>IF($G74="Walkover_Home",Settings!$B$11,IF($G74="Walkover_Away",Settings!$B$10,IF($G74="Cancelled","",IF($F74="","",$F74))))</f>
        <v>6</v>
      </c>
      <c r="J74" s="42">
        <f>IF($L74=0,"",IF($G74="Walkover_Home",Settings!$B$7,IF($G74="Walkover_Away",Settings!$B$8,IF($H74&gt;$I74,Settings!$B$3,IF($H74&lt;$I74,Settings!$B$4,Settings!$B$5)))))</f>
        <v>1</v>
      </c>
      <c r="K74" s="42">
        <f>IF($L74=0,"",IF($G74="Walkover_Home",Settings!$B$8,IF($G74="Walkover_Away",Settings!$B$7,IF($I74&gt;$H74,Settings!$B$3,IF($I74&lt;$H74,Settings!$B$4,Settings!$B$5)))))</f>
        <v>1</v>
      </c>
      <c r="L74" s="42">
        <f t="shared" si="2"/>
        <v>1</v>
      </c>
      <c r="M74" s="42">
        <f t="shared" si="3"/>
        <v>0</v>
      </c>
      <c r="N74" s="42">
        <f t="shared" si="4"/>
        <v>1</v>
      </c>
      <c r="O74" s="42">
        <f t="shared" si="5"/>
        <v>0</v>
      </c>
      <c r="P74" s="42">
        <f t="shared" si="6"/>
        <v>0</v>
      </c>
      <c r="Q74" s="42">
        <f t="shared" si="7"/>
        <v>1</v>
      </c>
      <c r="R74" s="42">
        <f t="shared" si="8"/>
        <v>0</v>
      </c>
      <c r="S74" s="43" t="str">
        <f t="shared" si="9"/>
        <v>Draw</v>
      </c>
      <c r="T74" s="41"/>
      <c r="U74" s="28">
        <f t="shared" si="10"/>
        <v>0</v>
      </c>
      <c r="V74" s="28">
        <f t="shared" ref="V74:W74" si="82">IF($L74=0,"",$I74-$H74)</f>
        <v>0</v>
      </c>
      <c r="W74" s="28">
        <f t="shared" si="82"/>
        <v>0</v>
      </c>
      <c r="X74" s="28">
        <f t="shared" si="12"/>
        <v>0</v>
      </c>
      <c r="Y74" s="28"/>
      <c r="Z74" s="28"/>
    </row>
    <row r="75" ht="15.75" customHeight="1">
      <c r="A75" s="38">
        <v>73.0</v>
      </c>
      <c r="B75" s="39">
        <v>46061.0</v>
      </c>
      <c r="C75" s="40" t="s">
        <v>113</v>
      </c>
      <c r="D75" s="40" t="s">
        <v>110</v>
      </c>
      <c r="E75" s="40">
        <v>7.0</v>
      </c>
      <c r="F75" s="40">
        <v>7.0</v>
      </c>
      <c r="G75" s="41" t="s">
        <v>5</v>
      </c>
      <c r="H75" s="42">
        <f>IF($G75="Walkover_Home",Settings!$B$10,IF($G75="Walkover_Away",Settings!$B$11,IF($G75="Cancelled","",IF($E75="","",$E75))))</f>
        <v>7</v>
      </c>
      <c r="I75" s="42">
        <f>IF($G75="Walkover_Home",Settings!$B$11,IF($G75="Walkover_Away",Settings!$B$10,IF($G75="Cancelled","",IF($F75="","",$F75))))</f>
        <v>7</v>
      </c>
      <c r="J75" s="42">
        <f>IF($L75=0,"",IF($G75="Walkover_Home",Settings!$B$7,IF($G75="Walkover_Away",Settings!$B$8,IF($H75&gt;$I75,Settings!$B$3,IF($H75&lt;$I75,Settings!$B$4,Settings!$B$5)))))</f>
        <v>1</v>
      </c>
      <c r="K75" s="42">
        <f>IF($L75=0,"",IF($G75="Walkover_Home",Settings!$B$8,IF($G75="Walkover_Away",Settings!$B$7,IF($I75&gt;$H75,Settings!$B$3,IF($I75&lt;$H75,Settings!$B$4,Settings!$B$5)))))</f>
        <v>1</v>
      </c>
      <c r="L75" s="42">
        <f t="shared" si="2"/>
        <v>1</v>
      </c>
      <c r="M75" s="42">
        <f t="shared" si="3"/>
        <v>0</v>
      </c>
      <c r="N75" s="42">
        <f t="shared" si="4"/>
        <v>1</v>
      </c>
      <c r="O75" s="42">
        <f t="shared" si="5"/>
        <v>0</v>
      </c>
      <c r="P75" s="42">
        <f t="shared" si="6"/>
        <v>0</v>
      </c>
      <c r="Q75" s="42">
        <f t="shared" si="7"/>
        <v>1</v>
      </c>
      <c r="R75" s="42">
        <f t="shared" si="8"/>
        <v>0</v>
      </c>
      <c r="S75" s="43" t="str">
        <f t="shared" si="9"/>
        <v>Draw</v>
      </c>
      <c r="T75" s="41"/>
      <c r="U75" s="28">
        <f t="shared" si="10"/>
        <v>0</v>
      </c>
      <c r="V75" s="28">
        <f t="shared" ref="V75:W75" si="83">IF($L75=0,"",$I75-$H75)</f>
        <v>0</v>
      </c>
      <c r="W75" s="28">
        <f t="shared" si="83"/>
        <v>0</v>
      </c>
      <c r="X75" s="28">
        <f t="shared" si="12"/>
        <v>0</v>
      </c>
      <c r="Y75" s="28"/>
      <c r="Z75" s="28"/>
    </row>
    <row r="76" ht="15.75" customHeight="1">
      <c r="A76" s="38">
        <v>74.0</v>
      </c>
      <c r="B76" s="39">
        <v>46061.0</v>
      </c>
      <c r="C76" s="40" t="s">
        <v>96</v>
      </c>
      <c r="D76" s="40" t="s">
        <v>111</v>
      </c>
      <c r="E76" s="40">
        <v>5.0</v>
      </c>
      <c r="F76" s="40">
        <v>7.0</v>
      </c>
      <c r="G76" s="41" t="s">
        <v>5</v>
      </c>
      <c r="H76" s="42">
        <f>IF($G76="Walkover_Home",Settings!$B$10,IF($G76="Walkover_Away",Settings!$B$11,IF($G76="Cancelled","",IF($E76="","",$E76))))</f>
        <v>5</v>
      </c>
      <c r="I76" s="42">
        <f>IF($G76="Walkover_Home",Settings!$B$11,IF($G76="Walkover_Away",Settings!$B$10,IF($G76="Cancelled","",IF($F76="","",$F76))))</f>
        <v>7</v>
      </c>
      <c r="J76" s="42">
        <f>IF($L76=0,"",IF($G76="Walkover_Home",Settings!$B$7,IF($G76="Walkover_Away",Settings!$B$8,IF($H76&gt;$I76,Settings!$B$3,IF($H76&lt;$I76,Settings!$B$4,Settings!$B$5)))))</f>
        <v>0</v>
      </c>
      <c r="K76" s="42">
        <f>IF($L76=0,"",IF($G76="Walkover_Home",Settings!$B$8,IF($G76="Walkover_Away",Settings!$B$7,IF($I76&gt;$H76,Settings!$B$3,IF($I76&lt;$H76,Settings!$B$4,Settings!$B$5)))))</f>
        <v>3</v>
      </c>
      <c r="L76" s="42">
        <f t="shared" si="2"/>
        <v>1</v>
      </c>
      <c r="M76" s="42">
        <f t="shared" si="3"/>
        <v>0</v>
      </c>
      <c r="N76" s="42">
        <f t="shared" si="4"/>
        <v>0</v>
      </c>
      <c r="O76" s="42">
        <f t="shared" si="5"/>
        <v>1</v>
      </c>
      <c r="P76" s="42">
        <f t="shared" si="6"/>
        <v>1</v>
      </c>
      <c r="Q76" s="42">
        <f t="shared" si="7"/>
        <v>0</v>
      </c>
      <c r="R76" s="42">
        <f t="shared" si="8"/>
        <v>0</v>
      </c>
      <c r="S76" s="43" t="str">
        <f t="shared" si="9"/>
        <v>DRACARYS</v>
      </c>
      <c r="T76" s="41"/>
      <c r="U76" s="28">
        <f t="shared" si="10"/>
        <v>-2</v>
      </c>
      <c r="V76" s="28">
        <f t="shared" ref="V76:W76" si="84">IF($L76=0,"",$I76-$H76)</f>
        <v>2</v>
      </c>
      <c r="W76" s="28">
        <f t="shared" si="84"/>
        <v>2</v>
      </c>
      <c r="X76" s="28">
        <f t="shared" si="12"/>
        <v>-2</v>
      </c>
      <c r="Y76" s="28"/>
      <c r="Z76" s="28"/>
    </row>
    <row r="77" ht="15.75" customHeight="1">
      <c r="A77" s="38">
        <v>75.0</v>
      </c>
      <c r="B77" s="39">
        <v>46061.0</v>
      </c>
      <c r="C77" s="40" t="s">
        <v>114</v>
      </c>
      <c r="D77" s="40" t="s">
        <v>105</v>
      </c>
      <c r="E77" s="40">
        <v>2.0</v>
      </c>
      <c r="F77" s="40">
        <v>2.0</v>
      </c>
      <c r="G77" s="41" t="s">
        <v>5</v>
      </c>
      <c r="H77" s="42">
        <f>IF($G77="Walkover_Home",Settings!$B$10,IF($G77="Walkover_Away",Settings!$B$11,IF($G77="Cancelled","",IF($E77="","",$E77))))</f>
        <v>2</v>
      </c>
      <c r="I77" s="42">
        <f>IF($G77="Walkover_Home",Settings!$B$11,IF($G77="Walkover_Away",Settings!$B$10,IF($G77="Cancelled","",IF($F77="","",$F77))))</f>
        <v>2</v>
      </c>
      <c r="J77" s="42">
        <f>IF($L77=0,"",IF($G77="Walkover_Home",Settings!$B$7,IF($G77="Walkover_Away",Settings!$B$8,IF($H77&gt;$I77,Settings!$B$3,IF($H77&lt;$I77,Settings!$B$4,Settings!$B$5)))))</f>
        <v>1</v>
      </c>
      <c r="K77" s="42">
        <f>IF($L77=0,"",IF($G77="Walkover_Home",Settings!$B$8,IF($G77="Walkover_Away",Settings!$B$7,IF($I77&gt;$H77,Settings!$B$3,IF($I77&lt;$H77,Settings!$B$4,Settings!$B$5)))))</f>
        <v>1</v>
      </c>
      <c r="L77" s="42">
        <f t="shared" si="2"/>
        <v>1</v>
      </c>
      <c r="M77" s="42">
        <f t="shared" si="3"/>
        <v>0</v>
      </c>
      <c r="N77" s="42">
        <f t="shared" si="4"/>
        <v>1</v>
      </c>
      <c r="O77" s="42">
        <f t="shared" si="5"/>
        <v>0</v>
      </c>
      <c r="P77" s="42">
        <f t="shared" si="6"/>
        <v>0</v>
      </c>
      <c r="Q77" s="42">
        <f t="shared" si="7"/>
        <v>1</v>
      </c>
      <c r="R77" s="42">
        <f t="shared" si="8"/>
        <v>0</v>
      </c>
      <c r="S77" s="43" t="str">
        <f t="shared" si="9"/>
        <v>Draw</v>
      </c>
      <c r="T77" s="41"/>
      <c r="U77" s="28">
        <f t="shared" si="10"/>
        <v>0</v>
      </c>
      <c r="V77" s="28">
        <f t="shared" ref="V77:W77" si="85">IF($L77=0,"",$I77-$H77)</f>
        <v>0</v>
      </c>
      <c r="W77" s="28">
        <f t="shared" si="85"/>
        <v>0</v>
      </c>
      <c r="X77" s="28">
        <f t="shared" si="12"/>
        <v>0</v>
      </c>
      <c r="Y77" s="28"/>
      <c r="Z77" s="28"/>
    </row>
    <row r="78" ht="15.75" customHeight="1">
      <c r="A78" s="38">
        <v>76.0</v>
      </c>
      <c r="B78" s="39">
        <v>46061.0</v>
      </c>
      <c r="C78" s="40" t="s">
        <v>113</v>
      </c>
      <c r="D78" s="40" t="s">
        <v>103</v>
      </c>
      <c r="E78" s="40">
        <v>4.0</v>
      </c>
      <c r="F78" s="40">
        <v>1.0</v>
      </c>
      <c r="G78" s="41" t="s">
        <v>5</v>
      </c>
      <c r="H78" s="42">
        <f>IF($G78="Walkover_Home",Settings!$B$10,IF($G78="Walkover_Away",Settings!$B$11,IF($G78="Cancelled","",IF($E78="","",$E78))))</f>
        <v>4</v>
      </c>
      <c r="I78" s="42">
        <f>IF($G78="Walkover_Home",Settings!$B$11,IF($G78="Walkover_Away",Settings!$B$10,IF($G78="Cancelled","",IF($F78="","",$F78))))</f>
        <v>1</v>
      </c>
      <c r="J78" s="42">
        <f>IF($L78=0,"",IF($G78="Walkover_Home",Settings!$B$7,IF($G78="Walkover_Away",Settings!$B$8,IF($H78&gt;$I78,Settings!$B$3,IF($H78&lt;$I78,Settings!$B$4,Settings!$B$5)))))</f>
        <v>3</v>
      </c>
      <c r="K78" s="42">
        <f>IF($L78=0,"",IF($G78="Walkover_Home",Settings!$B$8,IF($G78="Walkover_Away",Settings!$B$7,IF($I78&gt;$H78,Settings!$B$3,IF($I78&lt;$H78,Settings!$B$4,Settings!$B$5)))))</f>
        <v>0</v>
      </c>
      <c r="L78" s="42">
        <f t="shared" si="2"/>
        <v>1</v>
      </c>
      <c r="M78" s="42">
        <f t="shared" si="3"/>
        <v>1</v>
      </c>
      <c r="N78" s="42">
        <f t="shared" si="4"/>
        <v>0</v>
      </c>
      <c r="O78" s="42">
        <f t="shared" si="5"/>
        <v>0</v>
      </c>
      <c r="P78" s="42">
        <f t="shared" si="6"/>
        <v>0</v>
      </c>
      <c r="Q78" s="42">
        <f t="shared" si="7"/>
        <v>0</v>
      </c>
      <c r="R78" s="42">
        <f t="shared" si="8"/>
        <v>1</v>
      </c>
      <c r="S78" s="43" t="str">
        <f t="shared" si="9"/>
        <v>BRIGHT</v>
      </c>
      <c r="T78" s="41"/>
      <c r="U78" s="28">
        <f t="shared" si="10"/>
        <v>3</v>
      </c>
      <c r="V78" s="28">
        <f t="shared" ref="V78:W78" si="86">IF($L78=0,"",$I78-$H78)</f>
        <v>-3</v>
      </c>
      <c r="W78" s="28">
        <f t="shared" si="86"/>
        <v>-3</v>
      </c>
      <c r="X78" s="28">
        <f t="shared" si="12"/>
        <v>3</v>
      </c>
      <c r="Y78" s="28"/>
      <c r="Z78" s="28"/>
    </row>
    <row r="79" ht="15.75" customHeight="1">
      <c r="A79" s="38">
        <v>77.0</v>
      </c>
      <c r="B79" s="39">
        <v>46061.0</v>
      </c>
      <c r="C79" s="40" t="s">
        <v>108</v>
      </c>
      <c r="D79" s="40" t="s">
        <v>97</v>
      </c>
      <c r="E79" s="40">
        <v>4.0</v>
      </c>
      <c r="F79" s="40">
        <v>3.0</v>
      </c>
      <c r="G79" s="41" t="s">
        <v>5</v>
      </c>
      <c r="H79" s="42">
        <f>IF($G79="Walkover_Home",Settings!$B$10,IF($G79="Walkover_Away",Settings!$B$11,IF($G79="Cancelled","",IF($E79="","",$E79))))</f>
        <v>4</v>
      </c>
      <c r="I79" s="42">
        <f>IF($G79="Walkover_Home",Settings!$B$11,IF($G79="Walkover_Away",Settings!$B$10,IF($G79="Cancelled","",IF($F79="","",$F79))))</f>
        <v>3</v>
      </c>
      <c r="J79" s="42">
        <f>IF($L79=0,"",IF($G79="Walkover_Home",Settings!$B$7,IF($G79="Walkover_Away",Settings!$B$8,IF($H79&gt;$I79,Settings!$B$3,IF($H79&lt;$I79,Settings!$B$4,Settings!$B$5)))))</f>
        <v>3</v>
      </c>
      <c r="K79" s="42">
        <f>IF($L79=0,"",IF($G79="Walkover_Home",Settings!$B$8,IF($G79="Walkover_Away",Settings!$B$7,IF($I79&gt;$H79,Settings!$B$3,IF($I79&lt;$H79,Settings!$B$4,Settings!$B$5)))))</f>
        <v>0</v>
      </c>
      <c r="L79" s="42">
        <f t="shared" si="2"/>
        <v>1</v>
      </c>
      <c r="M79" s="42">
        <f t="shared" si="3"/>
        <v>1</v>
      </c>
      <c r="N79" s="42">
        <f t="shared" si="4"/>
        <v>0</v>
      </c>
      <c r="O79" s="42">
        <f t="shared" si="5"/>
        <v>0</v>
      </c>
      <c r="P79" s="42">
        <f t="shared" si="6"/>
        <v>0</v>
      </c>
      <c r="Q79" s="42">
        <f t="shared" si="7"/>
        <v>0</v>
      </c>
      <c r="R79" s="42">
        <f t="shared" si="8"/>
        <v>1</v>
      </c>
      <c r="S79" s="43" t="str">
        <f t="shared" si="9"/>
        <v>GAMEWITHJOSH</v>
      </c>
      <c r="T79" s="41"/>
      <c r="U79" s="28">
        <f t="shared" si="10"/>
        <v>1</v>
      </c>
      <c r="V79" s="28">
        <f t="shared" ref="V79:W79" si="87">IF($L79=0,"",$I79-$H79)</f>
        <v>-1</v>
      </c>
      <c r="W79" s="28">
        <f t="shared" si="87"/>
        <v>-1</v>
      </c>
      <c r="X79" s="28">
        <f t="shared" si="12"/>
        <v>1</v>
      </c>
      <c r="Y79" s="28"/>
      <c r="Z79" s="28"/>
    </row>
    <row r="80" ht="15.75" customHeight="1">
      <c r="A80" s="38">
        <v>78.0</v>
      </c>
      <c r="B80" s="39">
        <v>46061.0</v>
      </c>
      <c r="C80" s="40" t="s">
        <v>111</v>
      </c>
      <c r="D80" s="40" t="s">
        <v>107</v>
      </c>
      <c r="E80" s="40">
        <v>6.0</v>
      </c>
      <c r="F80" s="40">
        <v>3.0</v>
      </c>
      <c r="G80" s="41" t="s">
        <v>5</v>
      </c>
      <c r="H80" s="42">
        <f>IF($G80="Walkover_Home",Settings!$B$10,IF($G80="Walkover_Away",Settings!$B$11,IF($G80="Cancelled","",IF($E80="","",$E80))))</f>
        <v>6</v>
      </c>
      <c r="I80" s="42">
        <f>IF($G80="Walkover_Home",Settings!$B$11,IF($G80="Walkover_Away",Settings!$B$10,IF($G80="Cancelled","",IF($F80="","",$F80))))</f>
        <v>3</v>
      </c>
      <c r="J80" s="42">
        <f>IF($L80=0,"",IF($G80="Walkover_Home",Settings!$B$7,IF($G80="Walkover_Away",Settings!$B$8,IF($H80&gt;$I80,Settings!$B$3,IF($H80&lt;$I80,Settings!$B$4,Settings!$B$5)))))</f>
        <v>3</v>
      </c>
      <c r="K80" s="42">
        <f>IF($L80=0,"",IF($G80="Walkover_Home",Settings!$B$8,IF($G80="Walkover_Away",Settings!$B$7,IF($I80&gt;$H80,Settings!$B$3,IF($I80&lt;$H80,Settings!$B$4,Settings!$B$5)))))</f>
        <v>0</v>
      </c>
      <c r="L80" s="42">
        <f t="shared" si="2"/>
        <v>1</v>
      </c>
      <c r="M80" s="42">
        <f t="shared" si="3"/>
        <v>1</v>
      </c>
      <c r="N80" s="42">
        <f t="shared" si="4"/>
        <v>0</v>
      </c>
      <c r="O80" s="42">
        <f t="shared" si="5"/>
        <v>0</v>
      </c>
      <c r="P80" s="42">
        <f t="shared" si="6"/>
        <v>0</v>
      </c>
      <c r="Q80" s="42">
        <f t="shared" si="7"/>
        <v>0</v>
      </c>
      <c r="R80" s="42">
        <f t="shared" si="8"/>
        <v>1</v>
      </c>
      <c r="S80" s="43" t="str">
        <f t="shared" si="9"/>
        <v>DRACARYS</v>
      </c>
      <c r="T80" s="41"/>
      <c r="U80" s="28">
        <f t="shared" si="10"/>
        <v>3</v>
      </c>
      <c r="V80" s="28">
        <f t="shared" ref="V80:W80" si="88">IF($L80=0,"",$I80-$H80)</f>
        <v>-3</v>
      </c>
      <c r="W80" s="28">
        <f t="shared" si="88"/>
        <v>-3</v>
      </c>
      <c r="X80" s="28">
        <f t="shared" si="12"/>
        <v>3</v>
      </c>
      <c r="Y80" s="28"/>
      <c r="Z80" s="28"/>
    </row>
    <row r="81" ht="15.75" customHeight="1">
      <c r="A81" s="38">
        <v>79.0</v>
      </c>
      <c r="B81" s="39">
        <v>46061.0</v>
      </c>
      <c r="C81" s="40" t="s">
        <v>114</v>
      </c>
      <c r="D81" s="40" t="s">
        <v>98</v>
      </c>
      <c r="E81" s="40">
        <v>5.0</v>
      </c>
      <c r="F81" s="40">
        <v>5.0</v>
      </c>
      <c r="G81" s="41" t="s">
        <v>5</v>
      </c>
      <c r="H81" s="42">
        <f>IF($G81="Walkover_Home",Settings!$B$10,IF($G81="Walkover_Away",Settings!$B$11,IF($G81="Cancelled","",IF($E81="","",$E81))))</f>
        <v>5</v>
      </c>
      <c r="I81" s="42">
        <f>IF($G81="Walkover_Home",Settings!$B$11,IF($G81="Walkover_Away",Settings!$B$10,IF($G81="Cancelled","",IF($F81="","",$F81))))</f>
        <v>5</v>
      </c>
      <c r="J81" s="42">
        <f>IF($L81=0,"",IF($G81="Walkover_Home",Settings!$B$7,IF($G81="Walkover_Away",Settings!$B$8,IF($H81&gt;$I81,Settings!$B$3,IF($H81&lt;$I81,Settings!$B$4,Settings!$B$5)))))</f>
        <v>1</v>
      </c>
      <c r="K81" s="42">
        <f>IF($L81=0,"",IF($G81="Walkover_Home",Settings!$B$8,IF($G81="Walkover_Away",Settings!$B$7,IF($I81&gt;$H81,Settings!$B$3,IF($I81&lt;$H81,Settings!$B$4,Settings!$B$5)))))</f>
        <v>1</v>
      </c>
      <c r="L81" s="42">
        <f t="shared" si="2"/>
        <v>1</v>
      </c>
      <c r="M81" s="42">
        <f t="shared" si="3"/>
        <v>0</v>
      </c>
      <c r="N81" s="42">
        <f t="shared" si="4"/>
        <v>1</v>
      </c>
      <c r="O81" s="42">
        <f t="shared" si="5"/>
        <v>0</v>
      </c>
      <c r="P81" s="42">
        <f t="shared" si="6"/>
        <v>0</v>
      </c>
      <c r="Q81" s="42">
        <f t="shared" si="7"/>
        <v>1</v>
      </c>
      <c r="R81" s="42">
        <f t="shared" si="8"/>
        <v>0</v>
      </c>
      <c r="S81" s="43" t="str">
        <f t="shared" si="9"/>
        <v>Draw</v>
      </c>
      <c r="T81" s="41"/>
      <c r="U81" s="28">
        <f t="shared" si="10"/>
        <v>0</v>
      </c>
      <c r="V81" s="28">
        <f t="shared" ref="V81:W81" si="89">IF($L81=0,"",$I81-$H81)</f>
        <v>0</v>
      </c>
      <c r="W81" s="28">
        <f t="shared" si="89"/>
        <v>0</v>
      </c>
      <c r="X81" s="28">
        <f t="shared" si="12"/>
        <v>0</v>
      </c>
      <c r="Y81" s="28"/>
      <c r="Z81" s="28"/>
    </row>
    <row r="82" ht="15.75" customHeight="1">
      <c r="A82" s="38">
        <v>80.0</v>
      </c>
      <c r="B82" s="39">
        <v>46061.0</v>
      </c>
      <c r="C82" s="40" t="s">
        <v>97</v>
      </c>
      <c r="D82" s="40" t="s">
        <v>103</v>
      </c>
      <c r="E82" s="40">
        <v>2.0</v>
      </c>
      <c r="F82" s="40">
        <v>3.0</v>
      </c>
      <c r="G82" s="41" t="s">
        <v>5</v>
      </c>
      <c r="H82" s="42">
        <f>IF($G82="Walkover_Home",Settings!$B$10,IF($G82="Walkover_Away",Settings!$B$11,IF($G82="Cancelled","",IF($E82="","",$E82))))</f>
        <v>2</v>
      </c>
      <c r="I82" s="42">
        <f>IF($G82="Walkover_Home",Settings!$B$11,IF($G82="Walkover_Away",Settings!$B$10,IF($G82="Cancelled","",IF($F82="","",$F82))))</f>
        <v>3</v>
      </c>
      <c r="J82" s="42">
        <f>IF($L82=0,"",IF($G82="Walkover_Home",Settings!$B$7,IF($G82="Walkover_Away",Settings!$B$8,IF($H82&gt;$I82,Settings!$B$3,IF($H82&lt;$I82,Settings!$B$4,Settings!$B$5)))))</f>
        <v>0</v>
      </c>
      <c r="K82" s="42">
        <f>IF($L82=0,"",IF($G82="Walkover_Home",Settings!$B$8,IF($G82="Walkover_Away",Settings!$B$7,IF($I82&gt;$H82,Settings!$B$3,IF($I82&lt;$H82,Settings!$B$4,Settings!$B$5)))))</f>
        <v>3</v>
      </c>
      <c r="L82" s="42">
        <f t="shared" si="2"/>
        <v>1</v>
      </c>
      <c r="M82" s="42">
        <f t="shared" si="3"/>
        <v>0</v>
      </c>
      <c r="N82" s="42">
        <f t="shared" si="4"/>
        <v>0</v>
      </c>
      <c r="O82" s="42">
        <f t="shared" si="5"/>
        <v>1</v>
      </c>
      <c r="P82" s="42">
        <f t="shared" si="6"/>
        <v>1</v>
      </c>
      <c r="Q82" s="42">
        <f t="shared" si="7"/>
        <v>0</v>
      </c>
      <c r="R82" s="42">
        <f t="shared" si="8"/>
        <v>0</v>
      </c>
      <c r="S82" s="43" t="str">
        <f t="shared" si="9"/>
        <v>BALO K</v>
      </c>
      <c r="T82" s="41"/>
      <c r="U82" s="28">
        <f t="shared" si="10"/>
        <v>-1</v>
      </c>
      <c r="V82" s="28">
        <f t="shared" ref="V82:W82" si="90">IF($L82=0,"",$I82-$H82)</f>
        <v>1</v>
      </c>
      <c r="W82" s="28">
        <f t="shared" si="90"/>
        <v>1</v>
      </c>
      <c r="X82" s="28">
        <f t="shared" si="12"/>
        <v>-1</v>
      </c>
      <c r="Y82" s="28"/>
      <c r="Z82" s="28"/>
    </row>
    <row r="83" ht="15.75" customHeight="1">
      <c r="A83" s="38">
        <v>81.0</v>
      </c>
      <c r="B83" s="39">
        <v>46061.0</v>
      </c>
      <c r="C83" s="40" t="s">
        <v>101</v>
      </c>
      <c r="D83" s="40" t="s">
        <v>105</v>
      </c>
      <c r="E83" s="40">
        <v>4.0</v>
      </c>
      <c r="F83" s="40">
        <v>3.0</v>
      </c>
      <c r="G83" s="41" t="s">
        <v>5</v>
      </c>
      <c r="H83" s="42">
        <f>IF($G83="Walkover_Home",Settings!$B$10,IF($G83="Walkover_Away",Settings!$B$11,IF($G83="Cancelled","",IF($E83="","",$E83))))</f>
        <v>4</v>
      </c>
      <c r="I83" s="42">
        <f>IF($G83="Walkover_Home",Settings!$B$11,IF($G83="Walkover_Away",Settings!$B$10,IF($G83="Cancelled","",IF($F83="","",$F83))))</f>
        <v>3</v>
      </c>
      <c r="J83" s="42">
        <f>IF($L83=0,"",IF($G83="Walkover_Home",Settings!$B$7,IF($G83="Walkover_Away",Settings!$B$8,IF($H83&gt;$I83,Settings!$B$3,IF($H83&lt;$I83,Settings!$B$4,Settings!$B$5)))))</f>
        <v>3</v>
      </c>
      <c r="K83" s="42">
        <f>IF($L83=0,"",IF($G83="Walkover_Home",Settings!$B$8,IF($G83="Walkover_Away",Settings!$B$7,IF($I83&gt;$H83,Settings!$B$3,IF($I83&lt;$H83,Settings!$B$4,Settings!$B$5)))))</f>
        <v>0</v>
      </c>
      <c r="L83" s="42">
        <f t="shared" si="2"/>
        <v>1</v>
      </c>
      <c r="M83" s="42">
        <f t="shared" si="3"/>
        <v>1</v>
      </c>
      <c r="N83" s="42">
        <f t="shared" si="4"/>
        <v>0</v>
      </c>
      <c r="O83" s="42">
        <f t="shared" si="5"/>
        <v>0</v>
      </c>
      <c r="P83" s="42">
        <f t="shared" si="6"/>
        <v>0</v>
      </c>
      <c r="Q83" s="42">
        <f t="shared" si="7"/>
        <v>0</v>
      </c>
      <c r="R83" s="42">
        <f t="shared" si="8"/>
        <v>1</v>
      </c>
      <c r="S83" s="43" t="str">
        <f t="shared" si="9"/>
        <v>WOLEVATION</v>
      </c>
      <c r="T83" s="41"/>
      <c r="U83" s="28">
        <f t="shared" si="10"/>
        <v>1</v>
      </c>
      <c r="V83" s="28">
        <f t="shared" ref="V83:W83" si="91">IF($L83=0,"",$I83-$H83)</f>
        <v>-1</v>
      </c>
      <c r="W83" s="28">
        <f t="shared" si="91"/>
        <v>-1</v>
      </c>
      <c r="X83" s="28">
        <f t="shared" si="12"/>
        <v>1</v>
      </c>
      <c r="Y83" s="28"/>
      <c r="Z83" s="28"/>
    </row>
    <row r="84" ht="15.75" customHeight="1">
      <c r="A84" s="38">
        <v>82.0</v>
      </c>
      <c r="B84" s="39">
        <v>46061.0</v>
      </c>
      <c r="C84" s="40" t="s">
        <v>95</v>
      </c>
      <c r="D84" s="40" t="s">
        <v>100</v>
      </c>
      <c r="E84" s="40">
        <v>6.0</v>
      </c>
      <c r="F84" s="40">
        <v>4.0</v>
      </c>
      <c r="G84" s="41" t="s">
        <v>5</v>
      </c>
      <c r="H84" s="42">
        <f>IF($G84="Walkover_Home",Settings!$B$10,IF($G84="Walkover_Away",Settings!$B$11,IF($G84="Cancelled","",IF($E84="","",$E84))))</f>
        <v>6</v>
      </c>
      <c r="I84" s="42">
        <f>IF($G84="Walkover_Home",Settings!$B$11,IF($G84="Walkover_Away",Settings!$B$10,IF($G84="Cancelled","",IF($F84="","",$F84))))</f>
        <v>4</v>
      </c>
      <c r="J84" s="42">
        <f>IF($L84=0,"",IF($G84="Walkover_Home",Settings!$B$7,IF($G84="Walkover_Away",Settings!$B$8,IF($H84&gt;$I84,Settings!$B$3,IF($H84&lt;$I84,Settings!$B$4,Settings!$B$5)))))</f>
        <v>3</v>
      </c>
      <c r="K84" s="42">
        <f>IF($L84=0,"",IF($G84="Walkover_Home",Settings!$B$8,IF($G84="Walkover_Away",Settings!$B$7,IF($I84&gt;$H84,Settings!$B$3,IF($I84&lt;$H84,Settings!$B$4,Settings!$B$5)))))</f>
        <v>0</v>
      </c>
      <c r="L84" s="42">
        <f t="shared" si="2"/>
        <v>1</v>
      </c>
      <c r="M84" s="42">
        <f t="shared" si="3"/>
        <v>1</v>
      </c>
      <c r="N84" s="42">
        <f t="shared" si="4"/>
        <v>0</v>
      </c>
      <c r="O84" s="42">
        <f t="shared" si="5"/>
        <v>0</v>
      </c>
      <c r="P84" s="42">
        <f t="shared" si="6"/>
        <v>0</v>
      </c>
      <c r="Q84" s="42">
        <f t="shared" si="7"/>
        <v>0</v>
      </c>
      <c r="R84" s="42">
        <f t="shared" si="8"/>
        <v>1</v>
      </c>
      <c r="S84" s="43" t="str">
        <f t="shared" si="9"/>
        <v>MR OGA</v>
      </c>
      <c r="T84" s="41"/>
      <c r="U84" s="28">
        <f t="shared" si="10"/>
        <v>2</v>
      </c>
      <c r="V84" s="28">
        <f t="shared" ref="V84:W84" si="92">IF($L84=0,"",$I84-$H84)</f>
        <v>-2</v>
      </c>
      <c r="W84" s="28">
        <f t="shared" si="92"/>
        <v>-2</v>
      </c>
      <c r="X84" s="28">
        <f t="shared" si="12"/>
        <v>2</v>
      </c>
      <c r="Y84" s="28"/>
      <c r="Z84" s="28"/>
    </row>
    <row r="85" ht="15.75" customHeight="1">
      <c r="A85" s="38">
        <v>83.0</v>
      </c>
      <c r="B85" s="39">
        <v>46061.0</v>
      </c>
      <c r="C85" s="40" t="s">
        <v>96</v>
      </c>
      <c r="D85" s="40" t="s">
        <v>112</v>
      </c>
      <c r="E85" s="40">
        <v>16.0</v>
      </c>
      <c r="F85" s="40">
        <v>2.0</v>
      </c>
      <c r="G85" s="41" t="s">
        <v>5</v>
      </c>
      <c r="H85" s="42">
        <f>IF($G85="Walkover_Home",Settings!$B$10,IF($G85="Walkover_Away",Settings!$B$11,IF($G85="Cancelled","",IF($E85="","",$E85))))</f>
        <v>16</v>
      </c>
      <c r="I85" s="42">
        <f>IF($G85="Walkover_Home",Settings!$B$11,IF($G85="Walkover_Away",Settings!$B$10,IF($G85="Cancelled","",IF($F85="","",$F85))))</f>
        <v>2</v>
      </c>
      <c r="J85" s="42">
        <f>IF($L85=0,"",IF($G85="Walkover_Home",Settings!$B$7,IF($G85="Walkover_Away",Settings!$B$8,IF($H85&gt;$I85,Settings!$B$3,IF($H85&lt;$I85,Settings!$B$4,Settings!$B$5)))))</f>
        <v>3</v>
      </c>
      <c r="K85" s="42">
        <f>IF($L85=0,"",IF($G85="Walkover_Home",Settings!$B$8,IF($G85="Walkover_Away",Settings!$B$7,IF($I85&gt;$H85,Settings!$B$3,IF($I85&lt;$H85,Settings!$B$4,Settings!$B$5)))))</f>
        <v>0</v>
      </c>
      <c r="L85" s="42">
        <f t="shared" si="2"/>
        <v>1</v>
      </c>
      <c r="M85" s="42">
        <f t="shared" si="3"/>
        <v>1</v>
      </c>
      <c r="N85" s="42">
        <f t="shared" si="4"/>
        <v>0</v>
      </c>
      <c r="O85" s="42">
        <f t="shared" si="5"/>
        <v>0</v>
      </c>
      <c r="P85" s="42">
        <f t="shared" si="6"/>
        <v>0</v>
      </c>
      <c r="Q85" s="42">
        <f t="shared" si="7"/>
        <v>0</v>
      </c>
      <c r="R85" s="42">
        <f t="shared" si="8"/>
        <v>1</v>
      </c>
      <c r="S85" s="43" t="str">
        <f t="shared" si="9"/>
        <v>ANIFE</v>
      </c>
      <c r="T85" s="41"/>
      <c r="U85" s="28">
        <f t="shared" si="10"/>
        <v>14</v>
      </c>
      <c r="V85" s="28">
        <f t="shared" ref="V85:W85" si="93">IF($L85=0,"",$I85-$H85)</f>
        <v>-14</v>
      </c>
      <c r="W85" s="28">
        <f t="shared" si="93"/>
        <v>-14</v>
      </c>
      <c r="X85" s="28">
        <f t="shared" si="12"/>
        <v>14</v>
      </c>
      <c r="Y85" s="28"/>
      <c r="Z85" s="28"/>
    </row>
    <row r="86" ht="15.75" customHeight="1">
      <c r="A86" s="38">
        <v>84.0</v>
      </c>
      <c r="B86" s="39">
        <v>46061.0</v>
      </c>
      <c r="C86" s="40" t="s">
        <v>102</v>
      </c>
      <c r="D86" s="40" t="s">
        <v>106</v>
      </c>
      <c r="E86" s="40">
        <v>7.0</v>
      </c>
      <c r="F86" s="40">
        <v>9.0</v>
      </c>
      <c r="G86" s="41" t="s">
        <v>5</v>
      </c>
      <c r="H86" s="42">
        <f>IF($G86="Walkover_Home",Settings!$B$10,IF($G86="Walkover_Away",Settings!$B$11,IF($G86="Cancelled","",IF($E86="","",$E86))))</f>
        <v>7</v>
      </c>
      <c r="I86" s="42">
        <f>IF($G86="Walkover_Home",Settings!$B$11,IF($G86="Walkover_Away",Settings!$B$10,IF($G86="Cancelled","",IF($F86="","",$F86))))</f>
        <v>9</v>
      </c>
      <c r="J86" s="42">
        <f>IF($L86=0,"",IF($G86="Walkover_Home",Settings!$B$7,IF($G86="Walkover_Away",Settings!$B$8,IF($H86&gt;$I86,Settings!$B$3,IF($H86&lt;$I86,Settings!$B$4,Settings!$B$5)))))</f>
        <v>0</v>
      </c>
      <c r="K86" s="42">
        <f>IF($L86=0,"",IF($G86="Walkover_Home",Settings!$B$8,IF($G86="Walkover_Away",Settings!$B$7,IF($I86&gt;$H86,Settings!$B$3,IF($I86&lt;$H86,Settings!$B$4,Settings!$B$5)))))</f>
        <v>3</v>
      </c>
      <c r="L86" s="42">
        <f t="shared" si="2"/>
        <v>1</v>
      </c>
      <c r="M86" s="42">
        <f t="shared" si="3"/>
        <v>0</v>
      </c>
      <c r="N86" s="42">
        <f t="shared" si="4"/>
        <v>0</v>
      </c>
      <c r="O86" s="42">
        <f t="shared" si="5"/>
        <v>1</v>
      </c>
      <c r="P86" s="42">
        <f t="shared" si="6"/>
        <v>1</v>
      </c>
      <c r="Q86" s="42">
        <f t="shared" si="7"/>
        <v>0</v>
      </c>
      <c r="R86" s="42">
        <f t="shared" si="8"/>
        <v>0</v>
      </c>
      <c r="S86" s="43" t="str">
        <f t="shared" si="9"/>
        <v>SIMPLYY UZO</v>
      </c>
      <c r="T86" s="41"/>
      <c r="U86" s="28">
        <f t="shared" si="10"/>
        <v>-2</v>
      </c>
      <c r="V86" s="28">
        <f t="shared" ref="V86:W86" si="94">IF($L86=0,"",$I86-$H86)</f>
        <v>2</v>
      </c>
      <c r="W86" s="28">
        <f t="shared" si="94"/>
        <v>2</v>
      </c>
      <c r="X86" s="28">
        <f t="shared" si="12"/>
        <v>-2</v>
      </c>
      <c r="Y86" s="28"/>
      <c r="Z86" s="28"/>
    </row>
    <row r="87" ht="15.75" customHeight="1">
      <c r="A87" s="38">
        <v>85.0</v>
      </c>
      <c r="B87" s="39">
        <v>46062.0</v>
      </c>
      <c r="C87" s="40" t="s">
        <v>114</v>
      </c>
      <c r="D87" s="40" t="s">
        <v>96</v>
      </c>
      <c r="E87" s="40">
        <v>3.0</v>
      </c>
      <c r="F87" s="40">
        <v>2.0</v>
      </c>
      <c r="G87" s="41" t="s">
        <v>5</v>
      </c>
      <c r="H87" s="42">
        <f>IF($G87="Walkover_Home",Settings!$B$10,IF($G87="Walkover_Away",Settings!$B$11,IF($G87="Cancelled","",IF($E87="","",$E87))))</f>
        <v>3</v>
      </c>
      <c r="I87" s="42">
        <f>IF($G87="Walkover_Home",Settings!$B$11,IF($G87="Walkover_Away",Settings!$B$10,IF($G87="Cancelled","",IF($F87="","",$F87))))</f>
        <v>2</v>
      </c>
      <c r="J87" s="42">
        <f>IF($L87=0,"",IF($G87="Walkover_Home",Settings!$B$7,IF($G87="Walkover_Away",Settings!$B$8,IF($H87&gt;$I87,Settings!$B$3,IF($H87&lt;$I87,Settings!$B$4,Settings!$B$5)))))</f>
        <v>3</v>
      </c>
      <c r="K87" s="42">
        <f>IF($L87=0,"",IF($G87="Walkover_Home",Settings!$B$8,IF($G87="Walkover_Away",Settings!$B$7,IF($I87&gt;$H87,Settings!$B$3,IF($I87&lt;$H87,Settings!$B$4,Settings!$B$5)))))</f>
        <v>0</v>
      </c>
      <c r="L87" s="42">
        <f t="shared" si="2"/>
        <v>1</v>
      </c>
      <c r="M87" s="42">
        <f t="shared" si="3"/>
        <v>1</v>
      </c>
      <c r="N87" s="42">
        <f t="shared" si="4"/>
        <v>0</v>
      </c>
      <c r="O87" s="42">
        <f t="shared" si="5"/>
        <v>0</v>
      </c>
      <c r="P87" s="42">
        <f t="shared" si="6"/>
        <v>0</v>
      </c>
      <c r="Q87" s="42">
        <f t="shared" si="7"/>
        <v>0</v>
      </c>
      <c r="R87" s="42">
        <f t="shared" si="8"/>
        <v>1</v>
      </c>
      <c r="S87" s="43" t="str">
        <f t="shared" si="9"/>
        <v>KINGNONEX</v>
      </c>
      <c r="T87" s="41"/>
      <c r="U87" s="28">
        <f t="shared" si="10"/>
        <v>1</v>
      </c>
      <c r="V87" s="28">
        <f t="shared" ref="V87:W87" si="95">IF($L87=0,"",$I87-$H87)</f>
        <v>-1</v>
      </c>
      <c r="W87" s="28">
        <f t="shared" si="95"/>
        <v>-1</v>
      </c>
      <c r="X87" s="28">
        <f t="shared" si="12"/>
        <v>1</v>
      </c>
      <c r="Y87" s="28"/>
      <c r="Z87" s="28"/>
    </row>
    <row r="88" ht="15.75" customHeight="1">
      <c r="A88" s="38">
        <v>86.0</v>
      </c>
      <c r="B88" s="39">
        <v>46062.0</v>
      </c>
      <c r="C88" s="40" t="s">
        <v>103</v>
      </c>
      <c r="D88" s="40" t="s">
        <v>106</v>
      </c>
      <c r="E88" s="40">
        <v>9.0</v>
      </c>
      <c r="F88" s="40">
        <v>8.0</v>
      </c>
      <c r="G88" s="41" t="s">
        <v>5</v>
      </c>
      <c r="H88" s="42">
        <f>IF($G88="Walkover_Home",Settings!$B$10,IF($G88="Walkover_Away",Settings!$B$11,IF($G88="Cancelled","",IF($E88="","",$E88))))</f>
        <v>9</v>
      </c>
      <c r="I88" s="42">
        <f>IF($G88="Walkover_Home",Settings!$B$11,IF($G88="Walkover_Away",Settings!$B$10,IF($G88="Cancelled","",IF($F88="","",$F88))))</f>
        <v>8</v>
      </c>
      <c r="J88" s="42">
        <f>IF($L88=0,"",IF($G88="Walkover_Home",Settings!$B$7,IF($G88="Walkover_Away",Settings!$B$8,IF($H88&gt;$I88,Settings!$B$3,IF($H88&lt;$I88,Settings!$B$4,Settings!$B$5)))))</f>
        <v>3</v>
      </c>
      <c r="K88" s="42">
        <f>IF($L88=0,"",IF($G88="Walkover_Home",Settings!$B$8,IF($G88="Walkover_Away",Settings!$B$7,IF($I88&gt;$H88,Settings!$B$3,IF($I88&lt;$H88,Settings!$B$4,Settings!$B$5)))))</f>
        <v>0</v>
      </c>
      <c r="L88" s="42">
        <f t="shared" si="2"/>
        <v>1</v>
      </c>
      <c r="M88" s="42">
        <f t="shared" si="3"/>
        <v>1</v>
      </c>
      <c r="N88" s="42">
        <f t="shared" si="4"/>
        <v>0</v>
      </c>
      <c r="O88" s="42">
        <f t="shared" si="5"/>
        <v>0</v>
      </c>
      <c r="P88" s="42">
        <f t="shared" si="6"/>
        <v>0</v>
      </c>
      <c r="Q88" s="42">
        <f t="shared" si="7"/>
        <v>0</v>
      </c>
      <c r="R88" s="42">
        <f t="shared" si="8"/>
        <v>1</v>
      </c>
      <c r="S88" s="43" t="str">
        <f t="shared" si="9"/>
        <v>BALO K</v>
      </c>
      <c r="T88" s="41"/>
      <c r="U88" s="28">
        <f t="shared" si="10"/>
        <v>1</v>
      </c>
      <c r="V88" s="28">
        <f t="shared" ref="V88:W88" si="96">IF($L88=0,"",$I88-$H88)</f>
        <v>-1</v>
      </c>
      <c r="W88" s="28">
        <f t="shared" si="96"/>
        <v>-1</v>
      </c>
      <c r="X88" s="28">
        <f t="shared" si="12"/>
        <v>1</v>
      </c>
      <c r="Y88" s="28"/>
      <c r="Z88" s="28"/>
    </row>
    <row r="89" ht="15.75" customHeight="1">
      <c r="A89" s="38">
        <v>87.0</v>
      </c>
      <c r="B89" s="39">
        <v>46062.0</v>
      </c>
      <c r="C89" s="40" t="s">
        <v>98</v>
      </c>
      <c r="D89" s="40" t="s">
        <v>113</v>
      </c>
      <c r="E89" s="40">
        <v>6.0</v>
      </c>
      <c r="F89" s="40">
        <v>6.0</v>
      </c>
      <c r="G89" s="41" t="s">
        <v>5</v>
      </c>
      <c r="H89" s="42">
        <f>IF($G89="Walkover_Home",Settings!$B$10,IF($G89="Walkover_Away",Settings!$B$11,IF($G89="Cancelled","",IF($E89="","",$E89))))</f>
        <v>6</v>
      </c>
      <c r="I89" s="42">
        <f>IF($G89="Walkover_Home",Settings!$B$11,IF($G89="Walkover_Away",Settings!$B$10,IF($G89="Cancelled","",IF($F89="","",$F89))))</f>
        <v>6</v>
      </c>
      <c r="J89" s="42">
        <f>IF($L89=0,"",IF($G89="Walkover_Home",Settings!$B$7,IF($G89="Walkover_Away",Settings!$B$8,IF($H89&gt;$I89,Settings!$B$3,IF($H89&lt;$I89,Settings!$B$4,Settings!$B$5)))))</f>
        <v>1</v>
      </c>
      <c r="K89" s="42">
        <f>IF($L89=0,"",IF($G89="Walkover_Home",Settings!$B$8,IF($G89="Walkover_Away",Settings!$B$7,IF($I89&gt;$H89,Settings!$B$3,IF($I89&lt;$H89,Settings!$B$4,Settings!$B$5)))))</f>
        <v>1</v>
      </c>
      <c r="L89" s="42">
        <f t="shared" si="2"/>
        <v>1</v>
      </c>
      <c r="M89" s="42">
        <f t="shared" si="3"/>
        <v>0</v>
      </c>
      <c r="N89" s="42">
        <f t="shared" si="4"/>
        <v>1</v>
      </c>
      <c r="O89" s="42">
        <f t="shared" si="5"/>
        <v>0</v>
      </c>
      <c r="P89" s="42">
        <f t="shared" si="6"/>
        <v>0</v>
      </c>
      <c r="Q89" s="42">
        <f t="shared" si="7"/>
        <v>1</v>
      </c>
      <c r="R89" s="42">
        <f t="shared" si="8"/>
        <v>0</v>
      </c>
      <c r="S89" s="43" t="str">
        <f t="shared" si="9"/>
        <v>Draw</v>
      </c>
      <c r="T89" s="41"/>
      <c r="U89" s="28">
        <f t="shared" si="10"/>
        <v>0</v>
      </c>
      <c r="V89" s="28">
        <f t="shared" ref="V89:W89" si="97">IF($L89=0,"",$I89-$H89)</f>
        <v>0</v>
      </c>
      <c r="W89" s="28">
        <f t="shared" si="97"/>
        <v>0</v>
      </c>
      <c r="X89" s="28">
        <f t="shared" si="12"/>
        <v>0</v>
      </c>
      <c r="Y89" s="28"/>
      <c r="Z89" s="28"/>
    </row>
    <row r="90" ht="15.75" customHeight="1">
      <c r="A90" s="38">
        <v>88.0</v>
      </c>
      <c r="B90" s="39">
        <v>46062.0</v>
      </c>
      <c r="C90" s="40" t="s">
        <v>111</v>
      </c>
      <c r="D90" s="40" t="s">
        <v>109</v>
      </c>
      <c r="E90" s="40">
        <v>3.0</v>
      </c>
      <c r="F90" s="40">
        <v>3.0</v>
      </c>
      <c r="G90" s="41" t="s">
        <v>5</v>
      </c>
      <c r="H90" s="42">
        <f>IF($G90="Walkover_Home",Settings!$B$10,IF($G90="Walkover_Away",Settings!$B$11,IF($G90="Cancelled","",IF($E90="","",$E90))))</f>
        <v>3</v>
      </c>
      <c r="I90" s="42">
        <f>IF($G90="Walkover_Home",Settings!$B$11,IF($G90="Walkover_Away",Settings!$B$10,IF($G90="Cancelled","",IF($F90="","",$F90))))</f>
        <v>3</v>
      </c>
      <c r="J90" s="42">
        <f>IF($L90=0,"",IF($G90="Walkover_Home",Settings!$B$7,IF($G90="Walkover_Away",Settings!$B$8,IF($H90&gt;$I90,Settings!$B$3,IF($H90&lt;$I90,Settings!$B$4,Settings!$B$5)))))</f>
        <v>1</v>
      </c>
      <c r="K90" s="42">
        <f>IF($L90=0,"",IF($G90="Walkover_Home",Settings!$B$8,IF($G90="Walkover_Away",Settings!$B$7,IF($I90&gt;$H90,Settings!$B$3,IF($I90&lt;$H90,Settings!$B$4,Settings!$B$5)))))</f>
        <v>1</v>
      </c>
      <c r="L90" s="42">
        <f t="shared" si="2"/>
        <v>1</v>
      </c>
      <c r="M90" s="42">
        <f t="shared" si="3"/>
        <v>0</v>
      </c>
      <c r="N90" s="42">
        <f t="shared" si="4"/>
        <v>1</v>
      </c>
      <c r="O90" s="42">
        <f t="shared" si="5"/>
        <v>0</v>
      </c>
      <c r="P90" s="42">
        <f t="shared" si="6"/>
        <v>0</v>
      </c>
      <c r="Q90" s="42">
        <f t="shared" si="7"/>
        <v>1</v>
      </c>
      <c r="R90" s="42">
        <f t="shared" si="8"/>
        <v>0</v>
      </c>
      <c r="S90" s="43" t="str">
        <f t="shared" si="9"/>
        <v>Draw</v>
      </c>
      <c r="T90" s="41"/>
      <c r="U90" s="28">
        <f t="shared" si="10"/>
        <v>0</v>
      </c>
      <c r="V90" s="28">
        <f t="shared" ref="V90:W90" si="98">IF($L90=0,"",$I90-$H90)</f>
        <v>0</v>
      </c>
      <c r="W90" s="28">
        <f t="shared" si="98"/>
        <v>0</v>
      </c>
      <c r="X90" s="28">
        <f t="shared" si="12"/>
        <v>0</v>
      </c>
      <c r="Y90" s="28"/>
      <c r="Z90" s="28"/>
    </row>
    <row r="91" ht="15.75" customHeight="1">
      <c r="A91" s="38">
        <v>89.0</v>
      </c>
      <c r="B91" s="39">
        <v>46062.0</v>
      </c>
      <c r="C91" s="40" t="s">
        <v>110</v>
      </c>
      <c r="D91" s="40" t="s">
        <v>99</v>
      </c>
      <c r="E91" s="40">
        <v>5.0</v>
      </c>
      <c r="F91" s="40">
        <v>13.0</v>
      </c>
      <c r="G91" s="41" t="s">
        <v>5</v>
      </c>
      <c r="H91" s="42">
        <f>IF($G91="Walkover_Home",Settings!$B$10,IF($G91="Walkover_Away",Settings!$B$11,IF($G91="Cancelled","",IF($E91="","",$E91))))</f>
        <v>5</v>
      </c>
      <c r="I91" s="42">
        <f>IF($G91="Walkover_Home",Settings!$B$11,IF($G91="Walkover_Away",Settings!$B$10,IF($G91="Cancelled","",IF($F91="","",$F91))))</f>
        <v>13</v>
      </c>
      <c r="J91" s="42">
        <f>IF($L91=0,"",IF($G91="Walkover_Home",Settings!$B$7,IF($G91="Walkover_Away",Settings!$B$8,IF($H91&gt;$I91,Settings!$B$3,IF($H91&lt;$I91,Settings!$B$4,Settings!$B$5)))))</f>
        <v>0</v>
      </c>
      <c r="K91" s="42">
        <f>IF($L91=0,"",IF($G91="Walkover_Home",Settings!$B$8,IF($G91="Walkover_Away",Settings!$B$7,IF($I91&gt;$H91,Settings!$B$3,IF($I91&lt;$H91,Settings!$B$4,Settings!$B$5)))))</f>
        <v>3</v>
      </c>
      <c r="L91" s="42">
        <f t="shared" si="2"/>
        <v>1</v>
      </c>
      <c r="M91" s="42">
        <f t="shared" si="3"/>
        <v>0</v>
      </c>
      <c r="N91" s="42">
        <f t="shared" si="4"/>
        <v>0</v>
      </c>
      <c r="O91" s="42">
        <f t="shared" si="5"/>
        <v>1</v>
      </c>
      <c r="P91" s="42">
        <f t="shared" si="6"/>
        <v>1</v>
      </c>
      <c r="Q91" s="42">
        <f t="shared" si="7"/>
        <v>0</v>
      </c>
      <c r="R91" s="42">
        <f t="shared" si="8"/>
        <v>0</v>
      </c>
      <c r="S91" s="43" t="str">
        <f t="shared" si="9"/>
        <v>KAYKAY</v>
      </c>
      <c r="T91" s="41"/>
      <c r="U91" s="28">
        <f t="shared" si="10"/>
        <v>-8</v>
      </c>
      <c r="V91" s="28">
        <f t="shared" ref="V91:W91" si="99">IF($L91=0,"",$I91-$H91)</f>
        <v>8</v>
      </c>
      <c r="W91" s="28">
        <f t="shared" si="99"/>
        <v>8</v>
      </c>
      <c r="X91" s="28">
        <f t="shared" si="12"/>
        <v>-8</v>
      </c>
      <c r="Y91" s="28"/>
      <c r="Z91" s="28"/>
    </row>
    <row r="92" ht="15.75" customHeight="1">
      <c r="A92" s="38">
        <v>90.0</v>
      </c>
      <c r="B92" s="39">
        <v>46062.0</v>
      </c>
      <c r="C92" s="40" t="s">
        <v>112</v>
      </c>
      <c r="D92" s="40" t="s">
        <v>95</v>
      </c>
      <c r="E92" s="40">
        <v>1.0</v>
      </c>
      <c r="F92" s="40">
        <v>8.0</v>
      </c>
      <c r="G92" s="40" t="s">
        <v>5</v>
      </c>
      <c r="H92" s="42">
        <f>IF($G92="Walkover_Home",Settings!$B$10,IF($G92="Walkover_Away",Settings!$B$11,IF($G92="Cancelled","",IF($E92="","",$E92))))</f>
        <v>1</v>
      </c>
      <c r="I92" s="42">
        <f>IF($G92="Walkover_Home",Settings!$B$11,IF($G92="Walkover_Away",Settings!$B$10,IF($G92="Cancelled","",IF($F92="","",$F92))))</f>
        <v>8</v>
      </c>
      <c r="J92" s="42">
        <f>IF($L92=0,"",IF($G92="Walkover_Home",Settings!$B$7,IF($G92="Walkover_Away",Settings!$B$8,IF($H92&gt;$I92,Settings!$B$3,IF($H92&lt;$I92,Settings!$B$4,Settings!$B$5)))))</f>
        <v>0</v>
      </c>
      <c r="K92" s="42">
        <f>IF($L92=0,"",IF($G92="Walkover_Home",Settings!$B$8,IF($G92="Walkover_Away",Settings!$B$7,IF($I92&gt;$H92,Settings!$B$3,IF($I92&lt;$H92,Settings!$B$4,Settings!$B$5)))))</f>
        <v>3</v>
      </c>
      <c r="L92" s="42">
        <f t="shared" si="2"/>
        <v>1</v>
      </c>
      <c r="M92" s="42">
        <f t="shared" si="3"/>
        <v>0</v>
      </c>
      <c r="N92" s="42">
        <f t="shared" si="4"/>
        <v>0</v>
      </c>
      <c r="O92" s="42">
        <f t="shared" si="5"/>
        <v>1</v>
      </c>
      <c r="P92" s="42">
        <f t="shared" si="6"/>
        <v>1</v>
      </c>
      <c r="Q92" s="42">
        <f t="shared" si="7"/>
        <v>0</v>
      </c>
      <c r="R92" s="42">
        <f t="shared" si="8"/>
        <v>0</v>
      </c>
      <c r="S92" s="43" t="str">
        <f t="shared" si="9"/>
        <v>MR OGA</v>
      </c>
      <c r="T92" s="41"/>
      <c r="U92" s="28">
        <f t="shared" si="10"/>
        <v>-7</v>
      </c>
      <c r="V92" s="28">
        <f t="shared" ref="V92:W92" si="100">IF($L92=0,"",$I92-$H92)</f>
        <v>7</v>
      </c>
      <c r="W92" s="28">
        <f t="shared" si="100"/>
        <v>7</v>
      </c>
      <c r="X92" s="28">
        <f t="shared" si="12"/>
        <v>-7</v>
      </c>
      <c r="Y92" s="28"/>
      <c r="Z92" s="28"/>
    </row>
    <row r="93" ht="15.75" customHeight="1">
      <c r="A93" s="38">
        <v>91.0</v>
      </c>
      <c r="B93" s="39">
        <v>46062.0</v>
      </c>
      <c r="C93" s="40" t="s">
        <v>100</v>
      </c>
      <c r="D93" s="40" t="s">
        <v>96</v>
      </c>
      <c r="E93" s="40">
        <v>5.0</v>
      </c>
      <c r="F93" s="40">
        <v>4.0</v>
      </c>
      <c r="G93" s="41" t="s">
        <v>5</v>
      </c>
      <c r="H93" s="42">
        <f>IF($G93="Walkover_Home",Settings!$B$10,IF($G93="Walkover_Away",Settings!$B$11,IF($G93="Cancelled","",IF($E93="","",$E93))))</f>
        <v>5</v>
      </c>
      <c r="I93" s="42">
        <f>IF($G93="Walkover_Home",Settings!$B$11,IF($G93="Walkover_Away",Settings!$B$10,IF($G93="Cancelled","",IF($F93="","",$F93))))</f>
        <v>4</v>
      </c>
      <c r="J93" s="42">
        <f>IF($L93=0,"",IF($G93="Walkover_Home",Settings!$B$7,IF($G93="Walkover_Away",Settings!$B$8,IF($H93&gt;$I93,Settings!$B$3,IF($H93&lt;$I93,Settings!$B$4,Settings!$B$5)))))</f>
        <v>3</v>
      </c>
      <c r="K93" s="42">
        <f>IF($L93=0,"",IF($G93="Walkover_Home",Settings!$B$8,IF($G93="Walkover_Away",Settings!$B$7,IF($I93&gt;$H93,Settings!$B$3,IF($I93&lt;$H93,Settings!$B$4,Settings!$B$5)))))</f>
        <v>0</v>
      </c>
      <c r="L93" s="42">
        <f t="shared" si="2"/>
        <v>1</v>
      </c>
      <c r="M93" s="42">
        <f t="shared" si="3"/>
        <v>1</v>
      </c>
      <c r="N93" s="42">
        <f t="shared" si="4"/>
        <v>0</v>
      </c>
      <c r="O93" s="42">
        <f t="shared" si="5"/>
        <v>0</v>
      </c>
      <c r="P93" s="42">
        <f t="shared" si="6"/>
        <v>0</v>
      </c>
      <c r="Q93" s="42">
        <f t="shared" si="7"/>
        <v>0</v>
      </c>
      <c r="R93" s="42">
        <f t="shared" si="8"/>
        <v>1</v>
      </c>
      <c r="S93" s="43" t="str">
        <f t="shared" si="9"/>
        <v>TACTICAL</v>
      </c>
      <c r="T93" s="41"/>
      <c r="U93" s="28">
        <f t="shared" si="10"/>
        <v>1</v>
      </c>
      <c r="V93" s="28">
        <f t="shared" ref="V93:W93" si="101">IF($L93=0,"",$I93-$H93)</f>
        <v>-1</v>
      </c>
      <c r="W93" s="28">
        <f t="shared" si="101"/>
        <v>-1</v>
      </c>
      <c r="X93" s="28">
        <f t="shared" si="12"/>
        <v>1</v>
      </c>
      <c r="Y93" s="28"/>
      <c r="Z93" s="28"/>
    </row>
    <row r="94" ht="15.75" customHeight="1">
      <c r="A94" s="38">
        <v>92.0</v>
      </c>
      <c r="B94" s="39">
        <v>46062.0</v>
      </c>
      <c r="C94" s="40" t="s">
        <v>97</v>
      </c>
      <c r="D94" s="40" t="s">
        <v>102</v>
      </c>
      <c r="E94" s="40">
        <v>5.0</v>
      </c>
      <c r="F94" s="40">
        <v>10.0</v>
      </c>
      <c r="G94" s="41" t="s">
        <v>5</v>
      </c>
      <c r="H94" s="42">
        <f>IF($G94="Walkover_Home",Settings!$B$10,IF($G94="Walkover_Away",Settings!$B$11,IF($G94="Cancelled","",IF($E94="","",$E94))))</f>
        <v>5</v>
      </c>
      <c r="I94" s="42">
        <f>IF($G94="Walkover_Home",Settings!$B$11,IF($G94="Walkover_Away",Settings!$B$10,IF($G94="Cancelled","",IF($F94="","",$F94))))</f>
        <v>10</v>
      </c>
      <c r="J94" s="42">
        <f>IF($L94=0,"",IF($G94="Walkover_Home",Settings!$B$7,IF($G94="Walkover_Away",Settings!$B$8,IF($H94&gt;$I94,Settings!$B$3,IF($H94&lt;$I94,Settings!$B$4,Settings!$B$5)))))</f>
        <v>0</v>
      </c>
      <c r="K94" s="42">
        <f>IF($L94=0,"",IF($G94="Walkover_Home",Settings!$B$8,IF($G94="Walkover_Away",Settings!$B$7,IF($I94&gt;$H94,Settings!$B$3,IF($I94&lt;$H94,Settings!$B$4,Settings!$B$5)))))</f>
        <v>3</v>
      </c>
      <c r="L94" s="42">
        <f t="shared" si="2"/>
        <v>1</v>
      </c>
      <c r="M94" s="42">
        <f t="shared" si="3"/>
        <v>0</v>
      </c>
      <c r="N94" s="42">
        <f t="shared" si="4"/>
        <v>0</v>
      </c>
      <c r="O94" s="42">
        <f t="shared" si="5"/>
        <v>1</v>
      </c>
      <c r="P94" s="42">
        <f t="shared" si="6"/>
        <v>1</v>
      </c>
      <c r="Q94" s="42">
        <f t="shared" si="7"/>
        <v>0</v>
      </c>
      <c r="R94" s="42">
        <f t="shared" si="8"/>
        <v>0</v>
      </c>
      <c r="S94" s="43" t="str">
        <f t="shared" si="9"/>
        <v>KHALEEDOY</v>
      </c>
      <c r="T94" s="41"/>
      <c r="U94" s="28">
        <f t="shared" si="10"/>
        <v>-5</v>
      </c>
      <c r="V94" s="28">
        <f t="shared" ref="V94:W94" si="102">IF($L94=0,"",$I94-$H94)</f>
        <v>5</v>
      </c>
      <c r="W94" s="28">
        <f t="shared" si="102"/>
        <v>5</v>
      </c>
      <c r="X94" s="28">
        <f t="shared" si="12"/>
        <v>-5</v>
      </c>
      <c r="Y94" s="28"/>
      <c r="Z94" s="28"/>
    </row>
    <row r="95" ht="15.75" customHeight="1">
      <c r="A95" s="38">
        <v>93.0</v>
      </c>
      <c r="B95" s="39">
        <v>46062.0</v>
      </c>
      <c r="C95" s="40" t="s">
        <v>107</v>
      </c>
      <c r="D95" s="40" t="s">
        <v>110</v>
      </c>
      <c r="E95" s="40">
        <v>0.0</v>
      </c>
      <c r="F95" s="40">
        <v>3.0</v>
      </c>
      <c r="G95" s="40" t="s">
        <v>90</v>
      </c>
      <c r="H95" s="42">
        <f>IF($G95="Walkover_Home",Settings!$B$10,IF($G95="Walkover_Away",Settings!$B$11,IF($G95="Cancelled","",IF($E95="","",$E95))))</f>
        <v>0</v>
      </c>
      <c r="I95" s="42">
        <f>IF($G95="Walkover_Home",Settings!$B$11,IF($G95="Walkover_Away",Settings!$B$10,IF($G95="Cancelled","",IF($F95="","",$F95))))</f>
        <v>3</v>
      </c>
      <c r="J95" s="42">
        <f>IF($L95=0,"",IF($G95="Walkover_Home",Settings!$B$7,IF($G95="Walkover_Away",Settings!$B$8,IF($H95&gt;$I95,Settings!$B$3,IF($H95&lt;$I95,Settings!$B$4,Settings!$B$5)))))</f>
        <v>0</v>
      </c>
      <c r="K95" s="42">
        <f>IF($L95=0,"",IF($G95="Walkover_Home",Settings!$B$8,IF($G95="Walkover_Away",Settings!$B$7,IF($I95&gt;$H95,Settings!$B$3,IF($I95&lt;$H95,Settings!$B$4,Settings!$B$5)))))</f>
        <v>3</v>
      </c>
      <c r="L95" s="42">
        <f t="shared" si="2"/>
        <v>1</v>
      </c>
      <c r="M95" s="42">
        <f t="shared" si="3"/>
        <v>0</v>
      </c>
      <c r="N95" s="42">
        <f t="shared" si="4"/>
        <v>0</v>
      </c>
      <c r="O95" s="42">
        <f t="shared" si="5"/>
        <v>1</v>
      </c>
      <c r="P95" s="42">
        <f t="shared" si="6"/>
        <v>1</v>
      </c>
      <c r="Q95" s="42">
        <f t="shared" si="7"/>
        <v>0</v>
      </c>
      <c r="R95" s="42">
        <f t="shared" si="8"/>
        <v>0</v>
      </c>
      <c r="S95" s="43" t="str">
        <f t="shared" si="9"/>
        <v>SON OF GOD</v>
      </c>
      <c r="T95" s="41"/>
      <c r="U95" s="28">
        <f t="shared" si="10"/>
        <v>-3</v>
      </c>
      <c r="V95" s="28">
        <f t="shared" ref="V95:W95" si="103">IF($L95=0,"",$I95-$H95)</f>
        <v>3</v>
      </c>
      <c r="W95" s="28">
        <f t="shared" si="103"/>
        <v>3</v>
      </c>
      <c r="X95" s="28">
        <f t="shared" si="12"/>
        <v>-3</v>
      </c>
      <c r="Y95" s="28"/>
      <c r="Z95" s="28"/>
    </row>
    <row r="96" ht="15.75" customHeight="1">
      <c r="A96" s="38">
        <v>94.0</v>
      </c>
      <c r="B96" s="39">
        <v>46062.0</v>
      </c>
      <c r="C96" s="40" t="s">
        <v>100</v>
      </c>
      <c r="D96" s="40" t="s">
        <v>108</v>
      </c>
      <c r="E96" s="40">
        <v>8.0</v>
      </c>
      <c r="F96" s="40">
        <v>8.0</v>
      </c>
      <c r="G96" s="41" t="s">
        <v>5</v>
      </c>
      <c r="H96" s="42">
        <f>IF($G96="Walkover_Home",Settings!$B$10,IF($G96="Walkover_Away",Settings!$B$11,IF($G96="Cancelled","",IF($E96="","",$E96))))</f>
        <v>8</v>
      </c>
      <c r="I96" s="42">
        <f>IF($G96="Walkover_Home",Settings!$B$11,IF($G96="Walkover_Away",Settings!$B$10,IF($G96="Cancelled","",IF($F96="","",$F96))))</f>
        <v>8</v>
      </c>
      <c r="J96" s="42">
        <f>IF($L96=0,"",IF($G96="Walkover_Home",Settings!$B$7,IF($G96="Walkover_Away",Settings!$B$8,IF($H96&gt;$I96,Settings!$B$3,IF($H96&lt;$I96,Settings!$B$4,Settings!$B$5)))))</f>
        <v>1</v>
      </c>
      <c r="K96" s="42">
        <f>IF($L96=0,"",IF($G96="Walkover_Home",Settings!$B$8,IF($G96="Walkover_Away",Settings!$B$7,IF($I96&gt;$H96,Settings!$B$3,IF($I96&lt;$H96,Settings!$B$4,Settings!$B$5)))))</f>
        <v>1</v>
      </c>
      <c r="L96" s="42">
        <f t="shared" si="2"/>
        <v>1</v>
      </c>
      <c r="M96" s="42">
        <f t="shared" si="3"/>
        <v>0</v>
      </c>
      <c r="N96" s="42">
        <f t="shared" si="4"/>
        <v>1</v>
      </c>
      <c r="O96" s="42">
        <f t="shared" si="5"/>
        <v>0</v>
      </c>
      <c r="P96" s="42">
        <f t="shared" si="6"/>
        <v>0</v>
      </c>
      <c r="Q96" s="42">
        <f t="shared" si="7"/>
        <v>1</v>
      </c>
      <c r="R96" s="42">
        <f t="shared" si="8"/>
        <v>0</v>
      </c>
      <c r="S96" s="43" t="str">
        <f t="shared" si="9"/>
        <v>Draw</v>
      </c>
      <c r="T96" s="41"/>
      <c r="U96" s="28">
        <f t="shared" si="10"/>
        <v>0</v>
      </c>
      <c r="V96" s="28">
        <f t="shared" ref="V96:W96" si="104">IF($L96=0,"",$I96-$H96)</f>
        <v>0</v>
      </c>
      <c r="W96" s="28">
        <f t="shared" si="104"/>
        <v>0</v>
      </c>
      <c r="X96" s="28">
        <f t="shared" si="12"/>
        <v>0</v>
      </c>
      <c r="Y96" s="28"/>
      <c r="Z96" s="28"/>
    </row>
    <row r="97" ht="15.75" customHeight="1">
      <c r="A97" s="38">
        <v>95.0</v>
      </c>
      <c r="B97" s="39">
        <v>46062.0</v>
      </c>
      <c r="C97" s="40" t="s">
        <v>114</v>
      </c>
      <c r="D97" s="40" t="s">
        <v>97</v>
      </c>
      <c r="E97" s="40">
        <v>4.0</v>
      </c>
      <c r="F97" s="40">
        <v>1.0</v>
      </c>
      <c r="G97" s="41" t="s">
        <v>5</v>
      </c>
      <c r="H97" s="42">
        <f>IF($G97="Walkover_Home",Settings!$B$10,IF($G97="Walkover_Away",Settings!$B$11,IF($G97="Cancelled","",IF($E97="","",$E97))))</f>
        <v>4</v>
      </c>
      <c r="I97" s="42">
        <f>IF($G97="Walkover_Home",Settings!$B$11,IF($G97="Walkover_Away",Settings!$B$10,IF($G97="Cancelled","",IF($F97="","",$F97))))</f>
        <v>1</v>
      </c>
      <c r="J97" s="42">
        <f>IF($L97=0,"",IF($G97="Walkover_Home",Settings!$B$7,IF($G97="Walkover_Away",Settings!$B$8,IF($H97&gt;$I97,Settings!$B$3,IF($H97&lt;$I97,Settings!$B$4,Settings!$B$5)))))</f>
        <v>3</v>
      </c>
      <c r="K97" s="42">
        <f>IF($L97=0,"",IF($G97="Walkover_Home",Settings!$B$8,IF($G97="Walkover_Away",Settings!$B$7,IF($I97&gt;$H97,Settings!$B$3,IF($I97&lt;$H97,Settings!$B$4,Settings!$B$5)))))</f>
        <v>0</v>
      </c>
      <c r="L97" s="42">
        <f t="shared" si="2"/>
        <v>1</v>
      </c>
      <c r="M97" s="42">
        <f t="shared" si="3"/>
        <v>1</v>
      </c>
      <c r="N97" s="42">
        <f t="shared" si="4"/>
        <v>0</v>
      </c>
      <c r="O97" s="42">
        <f t="shared" si="5"/>
        <v>0</v>
      </c>
      <c r="P97" s="42">
        <f t="shared" si="6"/>
        <v>0</v>
      </c>
      <c r="Q97" s="42">
        <f t="shared" si="7"/>
        <v>0</v>
      </c>
      <c r="R97" s="42">
        <f t="shared" si="8"/>
        <v>1</v>
      </c>
      <c r="S97" s="43" t="str">
        <f t="shared" si="9"/>
        <v>KINGNONEX</v>
      </c>
      <c r="T97" s="41"/>
      <c r="U97" s="28">
        <f t="shared" si="10"/>
        <v>3</v>
      </c>
      <c r="V97" s="28">
        <f t="shared" ref="V97:W97" si="105">IF($L97=0,"",$I97-$H97)</f>
        <v>-3</v>
      </c>
      <c r="W97" s="28">
        <f t="shared" si="105"/>
        <v>-3</v>
      </c>
      <c r="X97" s="28">
        <f t="shared" si="12"/>
        <v>3</v>
      </c>
      <c r="Y97" s="28"/>
      <c r="Z97" s="28"/>
    </row>
    <row r="98" ht="15.75" customHeight="1">
      <c r="A98" s="38">
        <v>96.0</v>
      </c>
      <c r="B98" s="39">
        <v>46062.0</v>
      </c>
      <c r="C98" s="40" t="s">
        <v>103</v>
      </c>
      <c r="D98" s="40" t="s">
        <v>105</v>
      </c>
      <c r="E98" s="40">
        <v>6.0</v>
      </c>
      <c r="F98" s="40">
        <v>5.0</v>
      </c>
      <c r="G98" s="41" t="s">
        <v>5</v>
      </c>
      <c r="H98" s="42">
        <f>IF($G98="Walkover_Home",Settings!$B$10,IF($G98="Walkover_Away",Settings!$B$11,IF($G98="Cancelled","",IF($E98="","",$E98))))</f>
        <v>6</v>
      </c>
      <c r="I98" s="42">
        <f>IF($G98="Walkover_Home",Settings!$B$11,IF($G98="Walkover_Away",Settings!$B$10,IF($G98="Cancelled","",IF($F98="","",$F98))))</f>
        <v>5</v>
      </c>
      <c r="J98" s="42">
        <f>IF($L98=0,"",IF($G98="Walkover_Home",Settings!$B$7,IF($G98="Walkover_Away",Settings!$B$8,IF($H98&gt;$I98,Settings!$B$3,IF($H98&lt;$I98,Settings!$B$4,Settings!$B$5)))))</f>
        <v>3</v>
      </c>
      <c r="K98" s="42">
        <f>IF($L98=0,"",IF($G98="Walkover_Home",Settings!$B$8,IF($G98="Walkover_Away",Settings!$B$7,IF($I98&gt;$H98,Settings!$B$3,IF($I98&lt;$H98,Settings!$B$4,Settings!$B$5)))))</f>
        <v>0</v>
      </c>
      <c r="L98" s="42">
        <f t="shared" si="2"/>
        <v>1</v>
      </c>
      <c r="M98" s="42">
        <f t="shared" si="3"/>
        <v>1</v>
      </c>
      <c r="N98" s="42">
        <f t="shared" si="4"/>
        <v>0</v>
      </c>
      <c r="O98" s="42">
        <f t="shared" si="5"/>
        <v>0</v>
      </c>
      <c r="P98" s="42">
        <f t="shared" si="6"/>
        <v>0</v>
      </c>
      <c r="Q98" s="42">
        <f t="shared" si="7"/>
        <v>0</v>
      </c>
      <c r="R98" s="42">
        <f t="shared" si="8"/>
        <v>1</v>
      </c>
      <c r="S98" s="43" t="str">
        <f t="shared" si="9"/>
        <v>BALO K</v>
      </c>
      <c r="T98" s="41"/>
      <c r="U98" s="28">
        <f t="shared" si="10"/>
        <v>1</v>
      </c>
      <c r="V98" s="28">
        <f t="shared" ref="V98:W98" si="106">IF($L98=0,"",$I98-$H98)</f>
        <v>-1</v>
      </c>
      <c r="W98" s="28">
        <f t="shared" si="106"/>
        <v>-1</v>
      </c>
      <c r="X98" s="28">
        <f t="shared" si="12"/>
        <v>1</v>
      </c>
      <c r="Y98" s="28"/>
      <c r="Z98" s="28"/>
    </row>
    <row r="99" ht="15.75" customHeight="1">
      <c r="A99" s="38">
        <v>97.0</v>
      </c>
      <c r="B99" s="39">
        <v>46069.0</v>
      </c>
      <c r="C99" s="40" t="s">
        <v>95</v>
      </c>
      <c r="D99" s="40" t="s">
        <v>98</v>
      </c>
      <c r="E99" s="40">
        <v>5.0</v>
      </c>
      <c r="F99" s="40">
        <v>5.0</v>
      </c>
      <c r="G99" s="41" t="s">
        <v>5</v>
      </c>
      <c r="H99" s="42">
        <f>IF($G99="Walkover_Home",Settings!$B$10,IF($G99="Walkover_Away",Settings!$B$11,IF($G99="Cancelled","",IF($E99="","",$E99))))</f>
        <v>5</v>
      </c>
      <c r="I99" s="42">
        <f>IF($G99="Walkover_Home",Settings!$B$11,IF($G99="Walkover_Away",Settings!$B$10,IF($G99="Cancelled","",IF($F99="","",$F99))))</f>
        <v>5</v>
      </c>
      <c r="J99" s="42">
        <f>IF($L99=0,"",IF($G99="Walkover_Home",Settings!$B$7,IF($G99="Walkover_Away",Settings!$B$8,IF($H99&gt;$I99,Settings!$B$3,IF($H99&lt;$I99,Settings!$B$4,Settings!$B$5)))))</f>
        <v>1</v>
      </c>
      <c r="K99" s="42">
        <f>IF($L99=0,"",IF($G99="Walkover_Home",Settings!$B$8,IF($G99="Walkover_Away",Settings!$B$7,IF($I99&gt;$H99,Settings!$B$3,IF($I99&lt;$H99,Settings!$B$4,Settings!$B$5)))))</f>
        <v>1</v>
      </c>
      <c r="L99" s="42">
        <f t="shared" si="2"/>
        <v>1</v>
      </c>
      <c r="M99" s="42">
        <f t="shared" si="3"/>
        <v>0</v>
      </c>
      <c r="N99" s="42">
        <f t="shared" si="4"/>
        <v>1</v>
      </c>
      <c r="O99" s="42">
        <f t="shared" si="5"/>
        <v>0</v>
      </c>
      <c r="P99" s="42">
        <f t="shared" si="6"/>
        <v>0</v>
      </c>
      <c r="Q99" s="42">
        <f t="shared" si="7"/>
        <v>1</v>
      </c>
      <c r="R99" s="42">
        <f t="shared" si="8"/>
        <v>0</v>
      </c>
      <c r="S99" s="43" t="str">
        <f t="shared" si="9"/>
        <v>Draw</v>
      </c>
      <c r="T99" s="41"/>
      <c r="U99" s="28">
        <f t="shared" si="10"/>
        <v>0</v>
      </c>
      <c r="V99" s="28">
        <f t="shared" ref="V99:W99" si="107">IF($L99=0,"",$I99-$H99)</f>
        <v>0</v>
      </c>
      <c r="W99" s="28">
        <f t="shared" si="107"/>
        <v>0</v>
      </c>
      <c r="X99" s="28">
        <f t="shared" si="12"/>
        <v>0</v>
      </c>
      <c r="Y99" s="28"/>
      <c r="Z99" s="28"/>
    </row>
    <row r="100" ht="15.75" customHeight="1">
      <c r="A100" s="38">
        <v>98.0</v>
      </c>
      <c r="B100" s="39">
        <v>46069.0</v>
      </c>
      <c r="C100" s="40" t="s">
        <v>107</v>
      </c>
      <c r="D100" s="40" t="s">
        <v>100</v>
      </c>
      <c r="E100" s="40">
        <v>5.0</v>
      </c>
      <c r="F100" s="40">
        <v>8.0</v>
      </c>
      <c r="G100" s="41" t="s">
        <v>5</v>
      </c>
      <c r="H100" s="42">
        <f>IF($G100="Walkover_Home",Settings!$B$10,IF($G100="Walkover_Away",Settings!$B$11,IF($G100="Cancelled","",IF($E100="","",$E100))))</f>
        <v>5</v>
      </c>
      <c r="I100" s="42">
        <f>IF($G100="Walkover_Home",Settings!$B$11,IF($G100="Walkover_Away",Settings!$B$10,IF($G100="Cancelled","",IF($F100="","",$F100))))</f>
        <v>8</v>
      </c>
      <c r="J100" s="42">
        <f>IF($L100=0,"",IF($G100="Walkover_Home",Settings!$B$7,IF($G100="Walkover_Away",Settings!$B$8,IF($H100&gt;$I100,Settings!$B$3,IF($H100&lt;$I100,Settings!$B$4,Settings!$B$5)))))</f>
        <v>0</v>
      </c>
      <c r="K100" s="42">
        <f>IF($L100=0,"",IF($G100="Walkover_Home",Settings!$B$8,IF($G100="Walkover_Away",Settings!$B$7,IF($I100&gt;$H100,Settings!$B$3,IF($I100&lt;$H100,Settings!$B$4,Settings!$B$5)))))</f>
        <v>3</v>
      </c>
      <c r="L100" s="42">
        <f t="shared" si="2"/>
        <v>1</v>
      </c>
      <c r="M100" s="42">
        <f t="shared" si="3"/>
        <v>0</v>
      </c>
      <c r="N100" s="42">
        <f t="shared" si="4"/>
        <v>0</v>
      </c>
      <c r="O100" s="42">
        <f t="shared" si="5"/>
        <v>1</v>
      </c>
      <c r="P100" s="42">
        <f t="shared" si="6"/>
        <v>1</v>
      </c>
      <c r="Q100" s="42">
        <f t="shared" si="7"/>
        <v>0</v>
      </c>
      <c r="R100" s="42">
        <f t="shared" si="8"/>
        <v>0</v>
      </c>
      <c r="S100" s="43" t="str">
        <f t="shared" si="9"/>
        <v>TACTICAL</v>
      </c>
      <c r="T100" s="41"/>
      <c r="U100" s="28">
        <f t="shared" si="10"/>
        <v>-3</v>
      </c>
      <c r="V100" s="28">
        <f t="shared" ref="V100:W100" si="108">IF($L100=0,"",$I100-$H100)</f>
        <v>3</v>
      </c>
      <c r="W100" s="28">
        <f t="shared" si="108"/>
        <v>3</v>
      </c>
      <c r="X100" s="28">
        <f t="shared" si="12"/>
        <v>-3</v>
      </c>
      <c r="Y100" s="28"/>
      <c r="Z100" s="28"/>
    </row>
    <row r="101" ht="15.75" customHeight="1">
      <c r="A101" s="38">
        <v>99.0</v>
      </c>
      <c r="B101" s="39">
        <v>46069.0</v>
      </c>
      <c r="C101" s="40" t="s">
        <v>105</v>
      </c>
      <c r="D101" s="40" t="s">
        <v>102</v>
      </c>
      <c r="E101" s="40">
        <v>3.0</v>
      </c>
      <c r="F101" s="40">
        <v>4.0</v>
      </c>
      <c r="G101" s="41" t="s">
        <v>5</v>
      </c>
      <c r="H101" s="42">
        <f>IF($G101="Walkover_Home",Settings!$B$10,IF($G101="Walkover_Away",Settings!$B$11,IF($G101="Cancelled","",IF($E101="","",$E101))))</f>
        <v>3</v>
      </c>
      <c r="I101" s="42">
        <f>IF($G101="Walkover_Home",Settings!$B$11,IF($G101="Walkover_Away",Settings!$B$10,IF($G101="Cancelled","",IF($F101="","",$F101))))</f>
        <v>4</v>
      </c>
      <c r="J101" s="42">
        <f>IF($L101=0,"",IF($G101="Walkover_Home",Settings!$B$7,IF($G101="Walkover_Away",Settings!$B$8,IF($H101&gt;$I101,Settings!$B$3,IF($H101&lt;$I101,Settings!$B$4,Settings!$B$5)))))</f>
        <v>0</v>
      </c>
      <c r="K101" s="42">
        <f>IF($L101=0,"",IF($G101="Walkover_Home",Settings!$B$8,IF($G101="Walkover_Away",Settings!$B$7,IF($I101&gt;$H101,Settings!$B$3,IF($I101&lt;$H101,Settings!$B$4,Settings!$B$5)))))</f>
        <v>3</v>
      </c>
      <c r="L101" s="42">
        <f t="shared" si="2"/>
        <v>1</v>
      </c>
      <c r="M101" s="42">
        <f t="shared" si="3"/>
        <v>0</v>
      </c>
      <c r="N101" s="42">
        <f t="shared" si="4"/>
        <v>0</v>
      </c>
      <c r="O101" s="42">
        <f t="shared" si="5"/>
        <v>1</v>
      </c>
      <c r="P101" s="42">
        <f t="shared" si="6"/>
        <v>1</v>
      </c>
      <c r="Q101" s="42">
        <f t="shared" si="7"/>
        <v>0</v>
      </c>
      <c r="R101" s="42">
        <f t="shared" si="8"/>
        <v>0</v>
      </c>
      <c r="S101" s="43" t="str">
        <f t="shared" si="9"/>
        <v>KHALEEDOY</v>
      </c>
      <c r="T101" s="41"/>
      <c r="U101" s="28">
        <f t="shared" si="10"/>
        <v>-1</v>
      </c>
      <c r="V101" s="28">
        <f t="shared" ref="V101:W101" si="109">IF($L101=0,"",$I101-$H101)</f>
        <v>1</v>
      </c>
      <c r="W101" s="28">
        <f t="shared" si="109"/>
        <v>1</v>
      </c>
      <c r="X101" s="28">
        <f t="shared" si="12"/>
        <v>-1</v>
      </c>
      <c r="Y101" s="28"/>
      <c r="Z101" s="28"/>
    </row>
    <row r="102" ht="15.75" customHeight="1">
      <c r="A102" s="38">
        <v>100.0</v>
      </c>
      <c r="B102" s="39">
        <v>46069.0</v>
      </c>
      <c r="C102" s="40" t="s">
        <v>108</v>
      </c>
      <c r="D102" s="40" t="s">
        <v>101</v>
      </c>
      <c r="E102" s="40">
        <v>6.0</v>
      </c>
      <c r="F102" s="40">
        <v>5.0</v>
      </c>
      <c r="G102" s="41" t="s">
        <v>5</v>
      </c>
      <c r="H102" s="42">
        <f>IF($G102="Walkover_Home",Settings!$B$10,IF($G102="Walkover_Away",Settings!$B$11,IF($G102="Cancelled","",IF($E102="","",$E102))))</f>
        <v>6</v>
      </c>
      <c r="I102" s="42">
        <f>IF($G102="Walkover_Home",Settings!$B$11,IF($G102="Walkover_Away",Settings!$B$10,IF($G102="Cancelled","",IF($F102="","",$F102))))</f>
        <v>5</v>
      </c>
      <c r="J102" s="42">
        <f>IF($L102=0,"",IF($G102="Walkover_Home",Settings!$B$7,IF($G102="Walkover_Away",Settings!$B$8,IF($H102&gt;$I102,Settings!$B$3,IF($H102&lt;$I102,Settings!$B$4,Settings!$B$5)))))</f>
        <v>3</v>
      </c>
      <c r="K102" s="42">
        <f>IF($L102=0,"",IF($G102="Walkover_Home",Settings!$B$8,IF($G102="Walkover_Away",Settings!$B$7,IF($I102&gt;$H102,Settings!$B$3,IF($I102&lt;$H102,Settings!$B$4,Settings!$B$5)))))</f>
        <v>0</v>
      </c>
      <c r="L102" s="42">
        <f t="shared" si="2"/>
        <v>1</v>
      </c>
      <c r="M102" s="42">
        <f t="shared" si="3"/>
        <v>1</v>
      </c>
      <c r="N102" s="42">
        <f t="shared" si="4"/>
        <v>0</v>
      </c>
      <c r="O102" s="42">
        <f t="shared" si="5"/>
        <v>0</v>
      </c>
      <c r="P102" s="42">
        <f t="shared" si="6"/>
        <v>0</v>
      </c>
      <c r="Q102" s="42">
        <f t="shared" si="7"/>
        <v>0</v>
      </c>
      <c r="R102" s="42">
        <f t="shared" si="8"/>
        <v>1</v>
      </c>
      <c r="S102" s="43" t="str">
        <f t="shared" si="9"/>
        <v>GAMEWITHJOSH</v>
      </c>
      <c r="T102" s="41"/>
      <c r="U102" s="28">
        <f t="shared" si="10"/>
        <v>1</v>
      </c>
      <c r="V102" s="28">
        <f t="shared" ref="V102:W102" si="110">IF($L102=0,"",$I102-$H102)</f>
        <v>-1</v>
      </c>
      <c r="W102" s="28">
        <f t="shared" si="110"/>
        <v>-1</v>
      </c>
      <c r="X102" s="28">
        <f t="shared" si="12"/>
        <v>1</v>
      </c>
      <c r="Y102" s="28"/>
      <c r="Z102" s="28"/>
    </row>
    <row r="103" ht="15.75" customHeight="1">
      <c r="A103" s="38">
        <v>101.0</v>
      </c>
      <c r="B103" s="39">
        <v>46069.0</v>
      </c>
      <c r="C103" s="40" t="s">
        <v>99</v>
      </c>
      <c r="D103" s="40" t="s">
        <v>114</v>
      </c>
      <c r="E103" s="40">
        <v>4.0</v>
      </c>
      <c r="F103" s="40">
        <v>4.0</v>
      </c>
      <c r="G103" s="41" t="s">
        <v>5</v>
      </c>
      <c r="H103" s="42">
        <f>IF($G103="Walkover_Home",Settings!$B$10,IF($G103="Walkover_Away",Settings!$B$11,IF($G103="Cancelled","",IF($E103="","",$E103))))</f>
        <v>4</v>
      </c>
      <c r="I103" s="42">
        <f>IF($G103="Walkover_Home",Settings!$B$11,IF($G103="Walkover_Away",Settings!$B$10,IF($G103="Cancelled","",IF($F103="","",$F103))))</f>
        <v>4</v>
      </c>
      <c r="J103" s="42">
        <f>IF($L103=0,"",IF($G103="Walkover_Home",Settings!$B$7,IF($G103="Walkover_Away",Settings!$B$8,IF($H103&gt;$I103,Settings!$B$3,IF($H103&lt;$I103,Settings!$B$4,Settings!$B$5)))))</f>
        <v>1</v>
      </c>
      <c r="K103" s="42">
        <f>IF($L103=0,"",IF($G103="Walkover_Home",Settings!$B$8,IF($G103="Walkover_Away",Settings!$B$7,IF($I103&gt;$H103,Settings!$B$3,IF($I103&lt;$H103,Settings!$B$4,Settings!$B$5)))))</f>
        <v>1</v>
      </c>
      <c r="L103" s="42">
        <f t="shared" si="2"/>
        <v>1</v>
      </c>
      <c r="M103" s="42">
        <f t="shared" si="3"/>
        <v>0</v>
      </c>
      <c r="N103" s="42">
        <f t="shared" si="4"/>
        <v>1</v>
      </c>
      <c r="O103" s="42">
        <f t="shared" si="5"/>
        <v>0</v>
      </c>
      <c r="P103" s="42">
        <f t="shared" si="6"/>
        <v>0</v>
      </c>
      <c r="Q103" s="42">
        <f t="shared" si="7"/>
        <v>1</v>
      </c>
      <c r="R103" s="42">
        <f t="shared" si="8"/>
        <v>0</v>
      </c>
      <c r="S103" s="43" t="str">
        <f t="shared" si="9"/>
        <v>Draw</v>
      </c>
      <c r="T103" s="41"/>
      <c r="U103" s="28">
        <f t="shared" si="10"/>
        <v>0</v>
      </c>
      <c r="V103" s="28">
        <f t="shared" ref="V103:W103" si="111">IF($L103=0,"",$I103-$H103)</f>
        <v>0</v>
      </c>
      <c r="W103" s="28">
        <f t="shared" si="111"/>
        <v>0</v>
      </c>
      <c r="X103" s="28">
        <f t="shared" si="12"/>
        <v>0</v>
      </c>
      <c r="Y103" s="28"/>
      <c r="Z103" s="28"/>
    </row>
    <row r="104" ht="15.75" customHeight="1">
      <c r="A104" s="38">
        <v>102.0</v>
      </c>
      <c r="B104" s="39">
        <v>46069.0</v>
      </c>
      <c r="C104" s="40" t="s">
        <v>110</v>
      </c>
      <c r="D104" s="40" t="s">
        <v>96</v>
      </c>
      <c r="E104" s="40">
        <v>4.0</v>
      </c>
      <c r="F104" s="40">
        <v>5.0</v>
      </c>
      <c r="G104" s="41" t="s">
        <v>5</v>
      </c>
      <c r="H104" s="42">
        <f>IF($G104="Walkover_Home",Settings!$B$10,IF($G104="Walkover_Away",Settings!$B$11,IF($G104="Cancelled","",IF($E104="","",$E104))))</f>
        <v>4</v>
      </c>
      <c r="I104" s="42">
        <f>IF($G104="Walkover_Home",Settings!$B$11,IF($G104="Walkover_Away",Settings!$B$10,IF($G104="Cancelled","",IF($F104="","",$F104))))</f>
        <v>5</v>
      </c>
      <c r="J104" s="42">
        <f>IF($L104=0,"",IF($G104="Walkover_Home",Settings!$B$7,IF($G104="Walkover_Away",Settings!$B$8,IF($H104&gt;$I104,Settings!$B$3,IF($H104&lt;$I104,Settings!$B$4,Settings!$B$5)))))</f>
        <v>0</v>
      </c>
      <c r="K104" s="42">
        <f>IF($L104=0,"",IF($G104="Walkover_Home",Settings!$B$8,IF($G104="Walkover_Away",Settings!$B$7,IF($I104&gt;$H104,Settings!$B$3,IF($I104&lt;$H104,Settings!$B$4,Settings!$B$5)))))</f>
        <v>3</v>
      </c>
      <c r="L104" s="42">
        <f t="shared" si="2"/>
        <v>1</v>
      </c>
      <c r="M104" s="42">
        <f t="shared" si="3"/>
        <v>0</v>
      </c>
      <c r="N104" s="42">
        <f t="shared" si="4"/>
        <v>0</v>
      </c>
      <c r="O104" s="42">
        <f t="shared" si="5"/>
        <v>1</v>
      </c>
      <c r="P104" s="42">
        <f t="shared" si="6"/>
        <v>1</v>
      </c>
      <c r="Q104" s="42">
        <f t="shared" si="7"/>
        <v>0</v>
      </c>
      <c r="R104" s="42">
        <f t="shared" si="8"/>
        <v>0</v>
      </c>
      <c r="S104" s="43" t="str">
        <f t="shared" si="9"/>
        <v>ANIFE</v>
      </c>
      <c r="T104" s="41"/>
      <c r="U104" s="28">
        <f t="shared" si="10"/>
        <v>-1</v>
      </c>
      <c r="V104" s="28">
        <f t="shared" ref="V104:W104" si="112">IF($L104=0,"",$I104-$H104)</f>
        <v>1</v>
      </c>
      <c r="W104" s="28">
        <f t="shared" si="112"/>
        <v>1</v>
      </c>
      <c r="X104" s="28">
        <f t="shared" si="12"/>
        <v>-1</v>
      </c>
      <c r="Y104" s="28"/>
      <c r="Z104" s="28"/>
    </row>
    <row r="105" ht="15.75" customHeight="1">
      <c r="A105" s="38">
        <v>103.0</v>
      </c>
      <c r="B105" s="39">
        <v>46069.0</v>
      </c>
      <c r="C105" s="40" t="s">
        <v>105</v>
      </c>
      <c r="D105" s="40" t="s">
        <v>98</v>
      </c>
      <c r="E105" s="40">
        <v>3.0</v>
      </c>
      <c r="F105" s="40">
        <v>6.0</v>
      </c>
      <c r="G105" s="41" t="s">
        <v>5</v>
      </c>
      <c r="H105" s="42">
        <f>IF($G105="Walkover_Home",Settings!$B$10,IF($G105="Walkover_Away",Settings!$B$11,IF($G105="Cancelled","",IF($E105="","",$E105))))</f>
        <v>3</v>
      </c>
      <c r="I105" s="42">
        <f>IF($G105="Walkover_Home",Settings!$B$11,IF($G105="Walkover_Away",Settings!$B$10,IF($G105="Cancelled","",IF($F105="","",$F105))))</f>
        <v>6</v>
      </c>
      <c r="J105" s="42">
        <f>IF($L105=0,"",IF($G105="Walkover_Home",Settings!$B$7,IF($G105="Walkover_Away",Settings!$B$8,IF($H105&gt;$I105,Settings!$B$3,IF($H105&lt;$I105,Settings!$B$4,Settings!$B$5)))))</f>
        <v>0</v>
      </c>
      <c r="K105" s="42">
        <f>IF($L105=0,"",IF($G105="Walkover_Home",Settings!$B$8,IF($G105="Walkover_Away",Settings!$B$7,IF($I105&gt;$H105,Settings!$B$3,IF($I105&lt;$H105,Settings!$B$4,Settings!$B$5)))))</f>
        <v>3</v>
      </c>
      <c r="L105" s="42">
        <f t="shared" si="2"/>
        <v>1</v>
      </c>
      <c r="M105" s="42">
        <f t="shared" si="3"/>
        <v>0</v>
      </c>
      <c r="N105" s="42">
        <f t="shared" si="4"/>
        <v>0</v>
      </c>
      <c r="O105" s="42">
        <f t="shared" si="5"/>
        <v>1</v>
      </c>
      <c r="P105" s="42">
        <f t="shared" si="6"/>
        <v>1</v>
      </c>
      <c r="Q105" s="42">
        <f t="shared" si="7"/>
        <v>0</v>
      </c>
      <c r="R105" s="42">
        <f t="shared" si="8"/>
        <v>0</v>
      </c>
      <c r="S105" s="43" t="str">
        <f t="shared" si="9"/>
        <v>GURU</v>
      </c>
      <c r="T105" s="41"/>
      <c r="U105" s="28">
        <f t="shared" si="10"/>
        <v>-3</v>
      </c>
      <c r="V105" s="28">
        <f t="shared" ref="V105:W105" si="113">IF($L105=0,"",$I105-$H105)</f>
        <v>3</v>
      </c>
      <c r="W105" s="28">
        <f t="shared" si="113"/>
        <v>3</v>
      </c>
      <c r="X105" s="28">
        <f t="shared" si="12"/>
        <v>-3</v>
      </c>
      <c r="Y105" s="28"/>
      <c r="Z105" s="28"/>
    </row>
    <row r="106" ht="15.75" customHeight="1">
      <c r="A106" s="38">
        <v>104.0</v>
      </c>
      <c r="B106" s="39">
        <v>46069.0</v>
      </c>
      <c r="C106" s="40" t="s">
        <v>106</v>
      </c>
      <c r="D106" s="40" t="s">
        <v>104</v>
      </c>
      <c r="E106" s="40">
        <v>5.0</v>
      </c>
      <c r="F106" s="40">
        <v>7.0</v>
      </c>
      <c r="G106" s="41" t="s">
        <v>5</v>
      </c>
      <c r="H106" s="42">
        <f>IF($G106="Walkover_Home",Settings!$B$10,IF($G106="Walkover_Away",Settings!$B$11,IF($G106="Cancelled","",IF($E106="","",$E106))))</f>
        <v>5</v>
      </c>
      <c r="I106" s="42">
        <f>IF($G106="Walkover_Home",Settings!$B$11,IF($G106="Walkover_Away",Settings!$B$10,IF($G106="Cancelled","",IF($F106="","",$F106))))</f>
        <v>7</v>
      </c>
      <c r="J106" s="42">
        <f>IF($L106=0,"",IF($G106="Walkover_Home",Settings!$B$7,IF($G106="Walkover_Away",Settings!$B$8,IF($H106&gt;$I106,Settings!$B$3,IF($H106&lt;$I106,Settings!$B$4,Settings!$B$5)))))</f>
        <v>0</v>
      </c>
      <c r="K106" s="42">
        <f>IF($L106=0,"",IF($G106="Walkover_Home",Settings!$B$8,IF($G106="Walkover_Away",Settings!$B$7,IF($I106&gt;$H106,Settings!$B$3,IF($I106&lt;$H106,Settings!$B$4,Settings!$B$5)))))</f>
        <v>3</v>
      </c>
      <c r="L106" s="42">
        <f t="shared" si="2"/>
        <v>1</v>
      </c>
      <c r="M106" s="42">
        <f t="shared" si="3"/>
        <v>0</v>
      </c>
      <c r="N106" s="42">
        <f t="shared" si="4"/>
        <v>0</v>
      </c>
      <c r="O106" s="42">
        <f t="shared" si="5"/>
        <v>1</v>
      </c>
      <c r="P106" s="42">
        <f t="shared" si="6"/>
        <v>1</v>
      </c>
      <c r="Q106" s="42">
        <f t="shared" si="7"/>
        <v>0</v>
      </c>
      <c r="R106" s="42">
        <f t="shared" si="8"/>
        <v>0</v>
      </c>
      <c r="S106" s="43" t="str">
        <f t="shared" si="9"/>
        <v>YEMOLEE</v>
      </c>
      <c r="T106" s="41"/>
      <c r="U106" s="28">
        <f t="shared" si="10"/>
        <v>-2</v>
      </c>
      <c r="V106" s="28">
        <f t="shared" ref="V106:W106" si="114">IF($L106=0,"",$I106-$H106)</f>
        <v>2</v>
      </c>
      <c r="W106" s="28">
        <f t="shared" si="114"/>
        <v>2</v>
      </c>
      <c r="X106" s="28">
        <f t="shared" si="12"/>
        <v>-2</v>
      </c>
      <c r="Y106" s="28"/>
      <c r="Z106" s="28"/>
    </row>
    <row r="107" ht="15.75" customHeight="1">
      <c r="A107" s="38">
        <v>105.0</v>
      </c>
      <c r="B107" s="39">
        <v>46069.0</v>
      </c>
      <c r="C107" s="40" t="s">
        <v>109</v>
      </c>
      <c r="D107" s="40" t="s">
        <v>112</v>
      </c>
      <c r="E107" s="40">
        <v>9.0</v>
      </c>
      <c r="F107" s="40">
        <v>3.0</v>
      </c>
      <c r="G107" s="41" t="s">
        <v>5</v>
      </c>
      <c r="H107" s="42">
        <f>IF($G107="Walkover_Home",Settings!$B$10,IF($G107="Walkover_Away",Settings!$B$11,IF($G107="Cancelled","",IF($E107="","",$E107))))</f>
        <v>9</v>
      </c>
      <c r="I107" s="42">
        <f>IF($G107="Walkover_Home",Settings!$B$11,IF($G107="Walkover_Away",Settings!$B$10,IF($G107="Cancelled","",IF($F107="","",$F107))))</f>
        <v>3</v>
      </c>
      <c r="J107" s="42">
        <f>IF($L107=0,"",IF($G107="Walkover_Home",Settings!$B$7,IF($G107="Walkover_Away",Settings!$B$8,IF($H107&gt;$I107,Settings!$B$3,IF($H107&lt;$I107,Settings!$B$4,Settings!$B$5)))))</f>
        <v>3</v>
      </c>
      <c r="K107" s="42">
        <f>IF($L107=0,"",IF($G107="Walkover_Home",Settings!$B$8,IF($G107="Walkover_Away",Settings!$B$7,IF($I107&gt;$H107,Settings!$B$3,IF($I107&lt;$H107,Settings!$B$4,Settings!$B$5)))))</f>
        <v>0</v>
      </c>
      <c r="L107" s="42">
        <f t="shared" si="2"/>
        <v>1</v>
      </c>
      <c r="M107" s="42">
        <f t="shared" si="3"/>
        <v>1</v>
      </c>
      <c r="N107" s="42">
        <f t="shared" si="4"/>
        <v>0</v>
      </c>
      <c r="O107" s="42">
        <f t="shared" si="5"/>
        <v>0</v>
      </c>
      <c r="P107" s="42">
        <f t="shared" si="6"/>
        <v>0</v>
      </c>
      <c r="Q107" s="42">
        <f t="shared" si="7"/>
        <v>0</v>
      </c>
      <c r="R107" s="42">
        <f t="shared" si="8"/>
        <v>1</v>
      </c>
      <c r="S107" s="43" t="str">
        <f t="shared" si="9"/>
        <v>DADABOI</v>
      </c>
      <c r="T107" s="41"/>
      <c r="U107" s="28">
        <f t="shared" si="10"/>
        <v>6</v>
      </c>
      <c r="V107" s="28">
        <f t="shared" ref="V107:W107" si="115">IF($L107=0,"",$I107-$H107)</f>
        <v>-6</v>
      </c>
      <c r="W107" s="28">
        <f t="shared" si="115"/>
        <v>-6</v>
      </c>
      <c r="X107" s="28">
        <f t="shared" si="12"/>
        <v>6</v>
      </c>
      <c r="Y107" s="28"/>
      <c r="Z107" s="28"/>
    </row>
    <row r="108" ht="15.75" customHeight="1">
      <c r="A108" s="38">
        <v>106.0</v>
      </c>
      <c r="B108" s="39">
        <v>46069.0</v>
      </c>
      <c r="C108" s="40" t="s">
        <v>96</v>
      </c>
      <c r="D108" s="40" t="s">
        <v>103</v>
      </c>
      <c r="E108" s="40">
        <v>12.0</v>
      </c>
      <c r="F108" s="40">
        <v>3.0</v>
      </c>
      <c r="G108" s="41" t="s">
        <v>5</v>
      </c>
      <c r="H108" s="42">
        <f>IF($G108="Walkover_Home",Settings!$B$10,IF($G108="Walkover_Away",Settings!$B$11,IF($G108="Cancelled","",IF($E108="","",$E108))))</f>
        <v>12</v>
      </c>
      <c r="I108" s="42">
        <f>IF($G108="Walkover_Home",Settings!$B$11,IF($G108="Walkover_Away",Settings!$B$10,IF($G108="Cancelled","",IF($F108="","",$F108))))</f>
        <v>3</v>
      </c>
      <c r="J108" s="42">
        <f>IF($L108=0,"",IF($G108="Walkover_Home",Settings!$B$7,IF($G108="Walkover_Away",Settings!$B$8,IF($H108&gt;$I108,Settings!$B$3,IF($H108&lt;$I108,Settings!$B$4,Settings!$B$5)))))</f>
        <v>3</v>
      </c>
      <c r="K108" s="42">
        <f>IF($L108=0,"",IF($G108="Walkover_Home",Settings!$B$8,IF($G108="Walkover_Away",Settings!$B$7,IF($I108&gt;$H108,Settings!$B$3,IF($I108&lt;$H108,Settings!$B$4,Settings!$B$5)))))</f>
        <v>0</v>
      </c>
      <c r="L108" s="42">
        <f t="shared" si="2"/>
        <v>1</v>
      </c>
      <c r="M108" s="42">
        <f t="shared" si="3"/>
        <v>1</v>
      </c>
      <c r="N108" s="42">
        <f t="shared" si="4"/>
        <v>0</v>
      </c>
      <c r="O108" s="42">
        <f t="shared" si="5"/>
        <v>0</v>
      </c>
      <c r="P108" s="42">
        <f t="shared" si="6"/>
        <v>0</v>
      </c>
      <c r="Q108" s="42">
        <f t="shared" si="7"/>
        <v>0</v>
      </c>
      <c r="R108" s="42">
        <f t="shared" si="8"/>
        <v>1</v>
      </c>
      <c r="S108" s="43" t="str">
        <f t="shared" si="9"/>
        <v>ANIFE</v>
      </c>
      <c r="T108" s="41"/>
      <c r="U108" s="28">
        <f t="shared" si="10"/>
        <v>9</v>
      </c>
      <c r="V108" s="28">
        <f t="shared" ref="V108:W108" si="116">IF($L108=0,"",$I108-$H108)</f>
        <v>-9</v>
      </c>
      <c r="W108" s="28">
        <f t="shared" si="116"/>
        <v>-9</v>
      </c>
      <c r="X108" s="28">
        <f t="shared" si="12"/>
        <v>9</v>
      </c>
      <c r="Y108" s="28"/>
      <c r="Z108" s="28"/>
    </row>
    <row r="109" ht="15.75" customHeight="1">
      <c r="A109" s="38">
        <v>107.0</v>
      </c>
      <c r="B109" s="39">
        <v>46069.0</v>
      </c>
      <c r="C109" s="40" t="s">
        <v>111</v>
      </c>
      <c r="D109" s="40" t="s">
        <v>108</v>
      </c>
      <c r="E109" s="40">
        <v>5.0</v>
      </c>
      <c r="F109" s="40">
        <v>4.0</v>
      </c>
      <c r="G109" s="41" t="s">
        <v>5</v>
      </c>
      <c r="H109" s="42">
        <f>IF($G109="Walkover_Home",Settings!$B$10,IF($G109="Walkover_Away",Settings!$B$11,IF($G109="Cancelled","",IF($E109="","",$E109))))</f>
        <v>5</v>
      </c>
      <c r="I109" s="42">
        <f>IF($G109="Walkover_Home",Settings!$B$11,IF($G109="Walkover_Away",Settings!$B$10,IF($G109="Cancelled","",IF($F109="","",$F109))))</f>
        <v>4</v>
      </c>
      <c r="J109" s="42">
        <f>IF($L109=0,"",IF($G109="Walkover_Home",Settings!$B$7,IF($G109="Walkover_Away",Settings!$B$8,IF($H109&gt;$I109,Settings!$B$3,IF($H109&lt;$I109,Settings!$B$4,Settings!$B$5)))))</f>
        <v>3</v>
      </c>
      <c r="K109" s="42">
        <f>IF($L109=0,"",IF($G109="Walkover_Home",Settings!$B$8,IF($G109="Walkover_Away",Settings!$B$7,IF($I109&gt;$H109,Settings!$B$3,IF($I109&lt;$H109,Settings!$B$4,Settings!$B$5)))))</f>
        <v>0</v>
      </c>
      <c r="L109" s="42">
        <f t="shared" si="2"/>
        <v>1</v>
      </c>
      <c r="M109" s="42">
        <f t="shared" si="3"/>
        <v>1</v>
      </c>
      <c r="N109" s="42">
        <f t="shared" si="4"/>
        <v>0</v>
      </c>
      <c r="O109" s="42">
        <f t="shared" si="5"/>
        <v>0</v>
      </c>
      <c r="P109" s="42">
        <f t="shared" si="6"/>
        <v>0</v>
      </c>
      <c r="Q109" s="42">
        <f t="shared" si="7"/>
        <v>0</v>
      </c>
      <c r="R109" s="42">
        <f t="shared" si="8"/>
        <v>1</v>
      </c>
      <c r="S109" s="43" t="str">
        <f t="shared" si="9"/>
        <v>DRACARYS</v>
      </c>
      <c r="T109" s="41"/>
      <c r="U109" s="28">
        <f t="shared" si="10"/>
        <v>1</v>
      </c>
      <c r="V109" s="28">
        <f t="shared" ref="V109:W109" si="117">IF($L109=0,"",$I109-$H109)</f>
        <v>-1</v>
      </c>
      <c r="W109" s="28">
        <f t="shared" si="117"/>
        <v>-1</v>
      </c>
      <c r="X109" s="28">
        <f t="shared" si="12"/>
        <v>1</v>
      </c>
      <c r="Y109" s="28"/>
      <c r="Z109" s="28"/>
    </row>
    <row r="110" ht="15.75" customHeight="1">
      <c r="A110" s="38">
        <v>108.0</v>
      </c>
      <c r="B110" s="39">
        <v>46069.0</v>
      </c>
      <c r="C110" s="40" t="s">
        <v>95</v>
      </c>
      <c r="D110" s="40" t="s">
        <v>102</v>
      </c>
      <c r="E110" s="40">
        <v>6.0</v>
      </c>
      <c r="F110" s="40">
        <v>2.0</v>
      </c>
      <c r="G110" s="41" t="s">
        <v>5</v>
      </c>
      <c r="H110" s="42">
        <f>IF($G110="Walkover_Home",Settings!$B$10,IF($G110="Walkover_Away",Settings!$B$11,IF($G110="Cancelled","",IF($E110="","",$E110))))</f>
        <v>6</v>
      </c>
      <c r="I110" s="42">
        <f>IF($G110="Walkover_Home",Settings!$B$11,IF($G110="Walkover_Away",Settings!$B$10,IF($G110="Cancelled","",IF($F110="","",$F110))))</f>
        <v>2</v>
      </c>
      <c r="J110" s="42">
        <f>IF($L110=0,"",IF($G110="Walkover_Home",Settings!$B$7,IF($G110="Walkover_Away",Settings!$B$8,IF($H110&gt;$I110,Settings!$B$3,IF($H110&lt;$I110,Settings!$B$4,Settings!$B$5)))))</f>
        <v>3</v>
      </c>
      <c r="K110" s="42">
        <f>IF($L110=0,"",IF($G110="Walkover_Home",Settings!$B$8,IF($G110="Walkover_Away",Settings!$B$7,IF($I110&gt;$H110,Settings!$B$3,IF($I110&lt;$H110,Settings!$B$4,Settings!$B$5)))))</f>
        <v>0</v>
      </c>
      <c r="L110" s="42">
        <f t="shared" si="2"/>
        <v>1</v>
      </c>
      <c r="M110" s="42">
        <f t="shared" si="3"/>
        <v>1</v>
      </c>
      <c r="N110" s="42">
        <f t="shared" si="4"/>
        <v>0</v>
      </c>
      <c r="O110" s="42">
        <f t="shared" si="5"/>
        <v>0</v>
      </c>
      <c r="P110" s="42">
        <f t="shared" si="6"/>
        <v>0</v>
      </c>
      <c r="Q110" s="42">
        <f t="shared" si="7"/>
        <v>0</v>
      </c>
      <c r="R110" s="42">
        <f t="shared" si="8"/>
        <v>1</v>
      </c>
      <c r="S110" s="43" t="str">
        <f t="shared" si="9"/>
        <v>MR OGA</v>
      </c>
      <c r="T110" s="41"/>
      <c r="U110" s="28">
        <f t="shared" si="10"/>
        <v>4</v>
      </c>
      <c r="V110" s="28">
        <f t="shared" ref="V110:W110" si="118">IF($L110=0,"",$I110-$H110)</f>
        <v>-4</v>
      </c>
      <c r="W110" s="28">
        <f t="shared" si="118"/>
        <v>-4</v>
      </c>
      <c r="X110" s="28">
        <f t="shared" si="12"/>
        <v>4</v>
      </c>
      <c r="Y110" s="28"/>
      <c r="Z110" s="28"/>
    </row>
    <row r="111" ht="15.75" customHeight="1">
      <c r="A111" s="38">
        <v>109.0</v>
      </c>
      <c r="B111" s="39">
        <v>46074.0</v>
      </c>
      <c r="C111" s="40" t="s">
        <v>98</v>
      </c>
      <c r="D111" s="40" t="s">
        <v>100</v>
      </c>
      <c r="E111" s="40">
        <v>3.0</v>
      </c>
      <c r="F111" s="40">
        <v>5.0</v>
      </c>
      <c r="G111" s="41" t="s">
        <v>5</v>
      </c>
      <c r="H111" s="42">
        <f>IF($G111="Walkover_Home",Settings!$B$10,IF($G111="Walkover_Away",Settings!$B$11,IF($G111="Cancelled","",IF($E111="","",$E111))))</f>
        <v>3</v>
      </c>
      <c r="I111" s="42">
        <f>IF($G111="Walkover_Home",Settings!$B$11,IF($G111="Walkover_Away",Settings!$B$10,IF($G111="Cancelled","",IF($F111="","",$F111))))</f>
        <v>5</v>
      </c>
      <c r="J111" s="42">
        <f>IF($L111=0,"",IF($G111="Walkover_Home",Settings!$B$7,IF($G111="Walkover_Away",Settings!$B$8,IF($H111&gt;$I111,Settings!$B$3,IF($H111&lt;$I111,Settings!$B$4,Settings!$B$5)))))</f>
        <v>0</v>
      </c>
      <c r="K111" s="42">
        <f>IF($L111=0,"",IF($G111="Walkover_Home",Settings!$B$8,IF($G111="Walkover_Away",Settings!$B$7,IF($I111&gt;$H111,Settings!$B$3,IF($I111&lt;$H111,Settings!$B$4,Settings!$B$5)))))</f>
        <v>3</v>
      </c>
      <c r="L111" s="42">
        <f t="shared" si="2"/>
        <v>1</v>
      </c>
      <c r="M111" s="42">
        <f t="shared" si="3"/>
        <v>0</v>
      </c>
      <c r="N111" s="42">
        <f t="shared" si="4"/>
        <v>0</v>
      </c>
      <c r="O111" s="42">
        <f t="shared" si="5"/>
        <v>1</v>
      </c>
      <c r="P111" s="42">
        <f t="shared" si="6"/>
        <v>1</v>
      </c>
      <c r="Q111" s="42">
        <f t="shared" si="7"/>
        <v>0</v>
      </c>
      <c r="R111" s="42">
        <f t="shared" si="8"/>
        <v>0</v>
      </c>
      <c r="S111" s="43" t="str">
        <f t="shared" si="9"/>
        <v>TACTICAL</v>
      </c>
      <c r="T111" s="41"/>
      <c r="U111" s="28">
        <f t="shared" si="10"/>
        <v>-2</v>
      </c>
      <c r="V111" s="28">
        <f t="shared" ref="V111:W111" si="119">IF($L111=0,"",$I111-$H111)</f>
        <v>2</v>
      </c>
      <c r="W111" s="28">
        <f t="shared" si="119"/>
        <v>2</v>
      </c>
      <c r="X111" s="28">
        <f t="shared" si="12"/>
        <v>-2</v>
      </c>
      <c r="Y111" s="28"/>
      <c r="Z111" s="28"/>
    </row>
    <row r="112" ht="15.75" customHeight="1">
      <c r="A112" s="38">
        <v>110.0</v>
      </c>
      <c r="B112" s="39">
        <v>46074.0</v>
      </c>
      <c r="C112" s="40" t="s">
        <v>107</v>
      </c>
      <c r="D112" s="40" t="s">
        <v>109</v>
      </c>
      <c r="E112" s="40">
        <v>0.0</v>
      </c>
      <c r="F112" s="40">
        <v>3.0</v>
      </c>
      <c r="G112" s="40" t="s">
        <v>90</v>
      </c>
      <c r="H112" s="42">
        <f>IF($G112="Walkover_Home",Settings!$B$10,IF($G112="Walkover_Away",Settings!$B$11,IF($G112="Cancelled","",IF($E112="","",$E112))))</f>
        <v>0</v>
      </c>
      <c r="I112" s="42">
        <f>IF($G112="Walkover_Home",Settings!$B$11,IF($G112="Walkover_Away",Settings!$B$10,IF($G112="Cancelled","",IF($F112="","",$F112))))</f>
        <v>3</v>
      </c>
      <c r="J112" s="42">
        <f>IF($L112=0,"",IF($G112="Walkover_Home",Settings!$B$7,IF($G112="Walkover_Away",Settings!$B$8,IF($H112&gt;$I112,Settings!$B$3,IF($H112&lt;$I112,Settings!$B$4,Settings!$B$5)))))</f>
        <v>0</v>
      </c>
      <c r="K112" s="42">
        <f>IF($L112=0,"",IF($G112="Walkover_Home",Settings!$B$8,IF($G112="Walkover_Away",Settings!$B$7,IF($I112&gt;$H112,Settings!$B$3,IF($I112&lt;$H112,Settings!$B$4,Settings!$B$5)))))</f>
        <v>3</v>
      </c>
      <c r="L112" s="42">
        <f t="shared" si="2"/>
        <v>1</v>
      </c>
      <c r="M112" s="42">
        <f t="shared" si="3"/>
        <v>0</v>
      </c>
      <c r="N112" s="42">
        <f t="shared" si="4"/>
        <v>0</v>
      </c>
      <c r="O112" s="42">
        <f t="shared" si="5"/>
        <v>1</v>
      </c>
      <c r="P112" s="42">
        <f t="shared" si="6"/>
        <v>1</v>
      </c>
      <c r="Q112" s="42">
        <f t="shared" si="7"/>
        <v>0</v>
      </c>
      <c r="R112" s="42">
        <f t="shared" si="8"/>
        <v>0</v>
      </c>
      <c r="S112" s="43" t="str">
        <f t="shared" si="9"/>
        <v>DADABOI</v>
      </c>
      <c r="T112" s="41"/>
      <c r="U112" s="28">
        <f t="shared" si="10"/>
        <v>-3</v>
      </c>
      <c r="V112" s="28">
        <f t="shared" ref="V112:W112" si="120">IF($L112=0,"",$I112-$H112)</f>
        <v>3</v>
      </c>
      <c r="W112" s="28">
        <f t="shared" si="120"/>
        <v>3</v>
      </c>
      <c r="X112" s="28">
        <f t="shared" si="12"/>
        <v>-3</v>
      </c>
      <c r="Y112" s="28"/>
      <c r="Z112" s="28"/>
    </row>
    <row r="113" ht="15.75" customHeight="1">
      <c r="A113" s="38">
        <v>111.0</v>
      </c>
      <c r="B113" s="39">
        <v>46074.0</v>
      </c>
      <c r="C113" s="40" t="s">
        <v>95</v>
      </c>
      <c r="D113" s="40" t="s">
        <v>99</v>
      </c>
      <c r="E113" s="40">
        <v>5.0</v>
      </c>
      <c r="F113" s="40">
        <v>8.0</v>
      </c>
      <c r="G113" s="41" t="s">
        <v>5</v>
      </c>
      <c r="H113" s="42">
        <f>IF($G113="Walkover_Home",Settings!$B$10,IF($G113="Walkover_Away",Settings!$B$11,IF($G113="Cancelled","",IF($E113="","",$E113))))</f>
        <v>5</v>
      </c>
      <c r="I113" s="42">
        <f>IF($G113="Walkover_Home",Settings!$B$11,IF($G113="Walkover_Away",Settings!$B$10,IF($G113="Cancelled","",IF($F113="","",$F113))))</f>
        <v>8</v>
      </c>
      <c r="J113" s="42">
        <f>IF($L113=0,"",IF($G113="Walkover_Home",Settings!$B$7,IF($G113="Walkover_Away",Settings!$B$8,IF($H113&gt;$I113,Settings!$B$3,IF($H113&lt;$I113,Settings!$B$4,Settings!$B$5)))))</f>
        <v>0</v>
      </c>
      <c r="K113" s="42">
        <f>IF($L113=0,"",IF($G113="Walkover_Home",Settings!$B$8,IF($G113="Walkover_Away",Settings!$B$7,IF($I113&gt;$H113,Settings!$B$3,IF($I113&lt;$H113,Settings!$B$4,Settings!$B$5)))))</f>
        <v>3</v>
      </c>
      <c r="L113" s="42">
        <f t="shared" si="2"/>
        <v>1</v>
      </c>
      <c r="M113" s="42">
        <f t="shared" si="3"/>
        <v>0</v>
      </c>
      <c r="N113" s="42">
        <f t="shared" si="4"/>
        <v>0</v>
      </c>
      <c r="O113" s="42">
        <f t="shared" si="5"/>
        <v>1</v>
      </c>
      <c r="P113" s="42">
        <f t="shared" si="6"/>
        <v>1</v>
      </c>
      <c r="Q113" s="42">
        <f t="shared" si="7"/>
        <v>0</v>
      </c>
      <c r="R113" s="42">
        <f t="shared" si="8"/>
        <v>0</v>
      </c>
      <c r="S113" s="43" t="str">
        <f t="shared" si="9"/>
        <v>KAYKAY</v>
      </c>
      <c r="T113" s="41"/>
      <c r="U113" s="28">
        <f t="shared" si="10"/>
        <v>-3</v>
      </c>
      <c r="V113" s="28">
        <f t="shared" ref="V113:W113" si="121">IF($L113=0,"",$I113-$H113)</f>
        <v>3</v>
      </c>
      <c r="W113" s="28">
        <f t="shared" si="121"/>
        <v>3</v>
      </c>
      <c r="X113" s="28">
        <f t="shared" si="12"/>
        <v>-3</v>
      </c>
      <c r="Y113" s="28"/>
      <c r="Z113" s="28"/>
    </row>
    <row r="114" ht="15.75" customHeight="1">
      <c r="A114" s="38">
        <v>112.0</v>
      </c>
      <c r="B114" s="39">
        <v>46074.0</v>
      </c>
      <c r="C114" s="40" t="s">
        <v>97</v>
      </c>
      <c r="D114" s="40" t="s">
        <v>106</v>
      </c>
      <c r="E114" s="40">
        <v>3.0</v>
      </c>
      <c r="F114" s="40">
        <v>0.0</v>
      </c>
      <c r="G114" s="40" t="s">
        <v>89</v>
      </c>
      <c r="H114" s="42">
        <f>IF($G114="Walkover_Home",Settings!$B$10,IF($G114="Walkover_Away",Settings!$B$11,IF($G114="Cancelled","",IF($E114="","",$E114))))</f>
        <v>3</v>
      </c>
      <c r="I114" s="42">
        <f>IF($G114="Walkover_Home",Settings!$B$11,IF($G114="Walkover_Away",Settings!$B$10,IF($G114="Cancelled","",IF($F114="","",$F114))))</f>
        <v>0</v>
      </c>
      <c r="J114" s="42">
        <f>IF($L114=0,"",IF($G114="Walkover_Home",Settings!$B$7,IF($G114="Walkover_Away",Settings!$B$8,IF($H114&gt;$I114,Settings!$B$3,IF($H114&lt;$I114,Settings!$B$4,Settings!$B$5)))))</f>
        <v>3</v>
      </c>
      <c r="K114" s="42">
        <f>IF($L114=0,"",IF($G114="Walkover_Home",Settings!$B$8,IF($G114="Walkover_Away",Settings!$B$7,IF($I114&gt;$H114,Settings!$B$3,IF($I114&lt;$H114,Settings!$B$4,Settings!$B$5)))))</f>
        <v>0</v>
      </c>
      <c r="L114" s="42">
        <f t="shared" si="2"/>
        <v>1</v>
      </c>
      <c r="M114" s="42">
        <f t="shared" si="3"/>
        <v>1</v>
      </c>
      <c r="N114" s="42">
        <f t="shared" si="4"/>
        <v>0</v>
      </c>
      <c r="O114" s="42">
        <f t="shared" si="5"/>
        <v>0</v>
      </c>
      <c r="P114" s="42">
        <f t="shared" si="6"/>
        <v>0</v>
      </c>
      <c r="Q114" s="42">
        <f t="shared" si="7"/>
        <v>0</v>
      </c>
      <c r="R114" s="42">
        <f t="shared" si="8"/>
        <v>1</v>
      </c>
      <c r="S114" s="43" t="str">
        <f t="shared" si="9"/>
        <v>BAJI SNR</v>
      </c>
      <c r="T114" s="41"/>
      <c r="U114" s="28">
        <f t="shared" si="10"/>
        <v>3</v>
      </c>
      <c r="V114" s="28">
        <f t="shared" ref="V114:W114" si="122">IF($L114=0,"",$I114-$H114)</f>
        <v>-3</v>
      </c>
      <c r="W114" s="28">
        <f t="shared" si="122"/>
        <v>-3</v>
      </c>
      <c r="X114" s="28">
        <f t="shared" si="12"/>
        <v>3</v>
      </c>
      <c r="Y114" s="28"/>
      <c r="Z114" s="28"/>
    </row>
    <row r="115" ht="15.75" customHeight="1">
      <c r="A115" s="38">
        <v>113.0</v>
      </c>
      <c r="B115" s="39">
        <v>46074.0</v>
      </c>
      <c r="C115" s="40" t="s">
        <v>104</v>
      </c>
      <c r="D115" s="40" t="s">
        <v>102</v>
      </c>
      <c r="E115" s="40">
        <v>5.0</v>
      </c>
      <c r="F115" s="40">
        <v>5.0</v>
      </c>
      <c r="G115" s="41" t="s">
        <v>5</v>
      </c>
      <c r="H115" s="42">
        <f>IF($G115="Walkover_Home",Settings!$B$10,IF($G115="Walkover_Away",Settings!$B$11,IF($G115="Cancelled","",IF($E115="","",$E115))))</f>
        <v>5</v>
      </c>
      <c r="I115" s="42">
        <f>IF($G115="Walkover_Home",Settings!$B$11,IF($G115="Walkover_Away",Settings!$B$10,IF($G115="Cancelled","",IF($F115="","",$F115))))</f>
        <v>5</v>
      </c>
      <c r="J115" s="42">
        <f>IF($L115=0,"",IF($G115="Walkover_Home",Settings!$B$7,IF($G115="Walkover_Away",Settings!$B$8,IF($H115&gt;$I115,Settings!$B$3,IF($H115&lt;$I115,Settings!$B$4,Settings!$B$5)))))</f>
        <v>1</v>
      </c>
      <c r="K115" s="42">
        <f>IF($L115=0,"",IF($G115="Walkover_Home",Settings!$B$8,IF($G115="Walkover_Away",Settings!$B$7,IF($I115&gt;$H115,Settings!$B$3,IF($I115&lt;$H115,Settings!$B$4,Settings!$B$5)))))</f>
        <v>1</v>
      </c>
      <c r="L115" s="42">
        <f t="shared" si="2"/>
        <v>1</v>
      </c>
      <c r="M115" s="42">
        <f t="shared" si="3"/>
        <v>0</v>
      </c>
      <c r="N115" s="42">
        <f t="shared" si="4"/>
        <v>1</v>
      </c>
      <c r="O115" s="42">
        <f t="shared" si="5"/>
        <v>0</v>
      </c>
      <c r="P115" s="42">
        <f t="shared" si="6"/>
        <v>0</v>
      </c>
      <c r="Q115" s="42">
        <f t="shared" si="7"/>
        <v>1</v>
      </c>
      <c r="R115" s="42">
        <f t="shared" si="8"/>
        <v>0</v>
      </c>
      <c r="S115" s="43" t="str">
        <f t="shared" si="9"/>
        <v>Draw</v>
      </c>
      <c r="T115" s="41"/>
      <c r="U115" s="28">
        <f t="shared" si="10"/>
        <v>0</v>
      </c>
      <c r="V115" s="28">
        <f t="shared" ref="V115:W115" si="123">IF($L115=0,"",$I115-$H115)</f>
        <v>0</v>
      </c>
      <c r="W115" s="28">
        <f t="shared" si="123"/>
        <v>0</v>
      </c>
      <c r="X115" s="28">
        <f t="shared" si="12"/>
        <v>0</v>
      </c>
      <c r="Y115" s="28"/>
      <c r="Z115" s="28"/>
    </row>
    <row r="116" ht="15.75" customHeight="1">
      <c r="A116" s="38">
        <v>114.0</v>
      </c>
      <c r="B116" s="39">
        <v>46074.0</v>
      </c>
      <c r="C116" s="40" t="s">
        <v>114</v>
      </c>
      <c r="D116" s="40" t="s">
        <v>103</v>
      </c>
      <c r="E116" s="40">
        <v>5.0</v>
      </c>
      <c r="F116" s="40">
        <v>4.0</v>
      </c>
      <c r="G116" s="41" t="s">
        <v>5</v>
      </c>
      <c r="H116" s="42">
        <f>IF($G116="Walkover_Home",Settings!$B$10,IF($G116="Walkover_Away",Settings!$B$11,IF($G116="Cancelled","",IF($E116="","",$E116))))</f>
        <v>5</v>
      </c>
      <c r="I116" s="42">
        <f>IF($G116="Walkover_Home",Settings!$B$11,IF($G116="Walkover_Away",Settings!$B$10,IF($G116="Cancelled","",IF($F116="","",$F116))))</f>
        <v>4</v>
      </c>
      <c r="J116" s="42">
        <f>IF($L116=0,"",IF($G116="Walkover_Home",Settings!$B$7,IF($G116="Walkover_Away",Settings!$B$8,IF($H116&gt;$I116,Settings!$B$3,IF($H116&lt;$I116,Settings!$B$4,Settings!$B$5)))))</f>
        <v>3</v>
      </c>
      <c r="K116" s="42">
        <f>IF($L116=0,"",IF($G116="Walkover_Home",Settings!$B$8,IF($G116="Walkover_Away",Settings!$B$7,IF($I116&gt;$H116,Settings!$B$3,IF($I116&lt;$H116,Settings!$B$4,Settings!$B$5)))))</f>
        <v>0</v>
      </c>
      <c r="L116" s="42">
        <f t="shared" si="2"/>
        <v>1</v>
      </c>
      <c r="M116" s="42">
        <f t="shared" si="3"/>
        <v>1</v>
      </c>
      <c r="N116" s="42">
        <f t="shared" si="4"/>
        <v>0</v>
      </c>
      <c r="O116" s="42">
        <f t="shared" si="5"/>
        <v>0</v>
      </c>
      <c r="P116" s="42">
        <f t="shared" si="6"/>
        <v>0</v>
      </c>
      <c r="Q116" s="42">
        <f t="shared" si="7"/>
        <v>0</v>
      </c>
      <c r="R116" s="42">
        <f t="shared" si="8"/>
        <v>1</v>
      </c>
      <c r="S116" s="43" t="str">
        <f t="shared" si="9"/>
        <v>KINGNONEX</v>
      </c>
      <c r="T116" s="41"/>
      <c r="U116" s="28">
        <f t="shared" si="10"/>
        <v>1</v>
      </c>
      <c r="V116" s="28">
        <f t="shared" ref="V116:W116" si="124">IF($L116=0,"",$I116-$H116)</f>
        <v>-1</v>
      </c>
      <c r="W116" s="28">
        <f t="shared" si="124"/>
        <v>-1</v>
      </c>
      <c r="X116" s="28">
        <f t="shared" si="12"/>
        <v>1</v>
      </c>
      <c r="Y116" s="28"/>
      <c r="Z116" s="28"/>
    </row>
    <row r="117" ht="15.75" customHeight="1">
      <c r="A117" s="38">
        <v>115.0</v>
      </c>
      <c r="B117" s="39">
        <v>46074.0</v>
      </c>
      <c r="C117" s="40" t="s">
        <v>105</v>
      </c>
      <c r="D117" s="40" t="s">
        <v>96</v>
      </c>
      <c r="E117" s="40">
        <v>5.0</v>
      </c>
      <c r="F117" s="40">
        <v>6.0</v>
      </c>
      <c r="G117" s="41" t="s">
        <v>5</v>
      </c>
      <c r="H117" s="42">
        <f>IF($G117="Walkover_Home",Settings!$B$10,IF($G117="Walkover_Away",Settings!$B$11,IF($G117="Cancelled","",IF($E117="","",$E117))))</f>
        <v>5</v>
      </c>
      <c r="I117" s="42">
        <f>IF($G117="Walkover_Home",Settings!$B$11,IF($G117="Walkover_Away",Settings!$B$10,IF($G117="Cancelled","",IF($F117="","",$F117))))</f>
        <v>6</v>
      </c>
      <c r="J117" s="42">
        <f>IF($L117=0,"",IF($G117="Walkover_Home",Settings!$B$7,IF($G117="Walkover_Away",Settings!$B$8,IF($H117&gt;$I117,Settings!$B$3,IF($H117&lt;$I117,Settings!$B$4,Settings!$B$5)))))</f>
        <v>0</v>
      </c>
      <c r="K117" s="42">
        <f>IF($L117=0,"",IF($G117="Walkover_Home",Settings!$B$8,IF($G117="Walkover_Away",Settings!$B$7,IF($I117&gt;$H117,Settings!$B$3,IF($I117&lt;$H117,Settings!$B$4,Settings!$B$5)))))</f>
        <v>3</v>
      </c>
      <c r="L117" s="42">
        <f t="shared" si="2"/>
        <v>1</v>
      </c>
      <c r="M117" s="42">
        <f t="shared" si="3"/>
        <v>0</v>
      </c>
      <c r="N117" s="42">
        <f t="shared" si="4"/>
        <v>0</v>
      </c>
      <c r="O117" s="42">
        <f t="shared" si="5"/>
        <v>1</v>
      </c>
      <c r="P117" s="42">
        <f t="shared" si="6"/>
        <v>1</v>
      </c>
      <c r="Q117" s="42">
        <f t="shared" si="7"/>
        <v>0</v>
      </c>
      <c r="R117" s="42">
        <f t="shared" si="8"/>
        <v>0</v>
      </c>
      <c r="S117" s="43" t="str">
        <f t="shared" si="9"/>
        <v>ANIFE</v>
      </c>
      <c r="T117" s="41"/>
      <c r="U117" s="28">
        <f t="shared" si="10"/>
        <v>-1</v>
      </c>
      <c r="V117" s="28">
        <f t="shared" ref="V117:W117" si="125">IF($L117=0,"",$I117-$H117)</f>
        <v>1</v>
      </c>
      <c r="W117" s="28">
        <f t="shared" si="125"/>
        <v>1</v>
      </c>
      <c r="X117" s="28">
        <f t="shared" si="12"/>
        <v>-1</v>
      </c>
      <c r="Y117" s="28"/>
      <c r="Z117" s="28"/>
    </row>
    <row r="118" ht="15.75" customHeight="1">
      <c r="A118" s="38">
        <v>116.0</v>
      </c>
      <c r="B118" s="39">
        <v>46074.0</v>
      </c>
      <c r="C118" s="40" t="s">
        <v>113</v>
      </c>
      <c r="D118" s="40" t="s">
        <v>108</v>
      </c>
      <c r="E118" s="40">
        <v>6.0</v>
      </c>
      <c r="F118" s="40">
        <v>9.0</v>
      </c>
      <c r="G118" s="41" t="s">
        <v>5</v>
      </c>
      <c r="H118" s="42">
        <f>IF($G118="Walkover_Home",Settings!$B$10,IF($G118="Walkover_Away",Settings!$B$11,IF($G118="Cancelled","",IF($E118="","",$E118))))</f>
        <v>6</v>
      </c>
      <c r="I118" s="42">
        <f>IF($G118="Walkover_Home",Settings!$B$11,IF($G118="Walkover_Away",Settings!$B$10,IF($G118="Cancelled","",IF($F118="","",$F118))))</f>
        <v>9</v>
      </c>
      <c r="J118" s="42">
        <f>IF($L118=0,"",IF($G118="Walkover_Home",Settings!$B$7,IF($G118="Walkover_Away",Settings!$B$8,IF($H118&gt;$I118,Settings!$B$3,IF($H118&lt;$I118,Settings!$B$4,Settings!$B$5)))))</f>
        <v>0</v>
      </c>
      <c r="K118" s="42">
        <f>IF($L118=0,"",IF($G118="Walkover_Home",Settings!$B$8,IF($G118="Walkover_Away",Settings!$B$7,IF($I118&gt;$H118,Settings!$B$3,IF($I118&lt;$H118,Settings!$B$4,Settings!$B$5)))))</f>
        <v>3</v>
      </c>
      <c r="L118" s="42">
        <f t="shared" si="2"/>
        <v>1</v>
      </c>
      <c r="M118" s="42">
        <f t="shared" si="3"/>
        <v>0</v>
      </c>
      <c r="N118" s="42">
        <f t="shared" si="4"/>
        <v>0</v>
      </c>
      <c r="O118" s="42">
        <f t="shared" si="5"/>
        <v>1</v>
      </c>
      <c r="P118" s="42">
        <f t="shared" si="6"/>
        <v>1</v>
      </c>
      <c r="Q118" s="42">
        <f t="shared" si="7"/>
        <v>0</v>
      </c>
      <c r="R118" s="42">
        <f t="shared" si="8"/>
        <v>0</v>
      </c>
      <c r="S118" s="43" t="str">
        <f t="shared" si="9"/>
        <v>GAMEWITHJOSH</v>
      </c>
      <c r="T118" s="41"/>
      <c r="U118" s="28">
        <f t="shared" si="10"/>
        <v>-3</v>
      </c>
      <c r="V118" s="28">
        <f t="shared" ref="V118:W118" si="126">IF($L118=0,"",$I118-$H118)</f>
        <v>3</v>
      </c>
      <c r="W118" s="28">
        <f t="shared" si="126"/>
        <v>3</v>
      </c>
      <c r="X118" s="28">
        <f t="shared" si="12"/>
        <v>-3</v>
      </c>
      <c r="Y118" s="28"/>
      <c r="Z118" s="28"/>
    </row>
    <row r="119" ht="15.75" customHeight="1">
      <c r="A119" s="38">
        <v>117.0</v>
      </c>
      <c r="B119" s="39">
        <v>46074.0</v>
      </c>
      <c r="C119" s="40" t="s">
        <v>101</v>
      </c>
      <c r="D119" s="40" t="s">
        <v>110</v>
      </c>
      <c r="E119" s="40">
        <v>3.0</v>
      </c>
      <c r="F119" s="40">
        <v>6.0</v>
      </c>
      <c r="G119" s="41" t="s">
        <v>5</v>
      </c>
      <c r="H119" s="42">
        <f>IF($G119="Walkover_Home",Settings!$B$10,IF($G119="Walkover_Away",Settings!$B$11,IF($G119="Cancelled","",IF($E119="","",$E119))))</f>
        <v>3</v>
      </c>
      <c r="I119" s="42">
        <f>IF($G119="Walkover_Home",Settings!$B$11,IF($G119="Walkover_Away",Settings!$B$10,IF($G119="Cancelled","",IF($F119="","",$F119))))</f>
        <v>6</v>
      </c>
      <c r="J119" s="42">
        <f>IF($L119=0,"",IF($G119="Walkover_Home",Settings!$B$7,IF($G119="Walkover_Away",Settings!$B$8,IF($H119&gt;$I119,Settings!$B$3,IF($H119&lt;$I119,Settings!$B$4,Settings!$B$5)))))</f>
        <v>0</v>
      </c>
      <c r="K119" s="42">
        <f>IF($L119=0,"",IF($G119="Walkover_Home",Settings!$B$8,IF($G119="Walkover_Away",Settings!$B$7,IF($I119&gt;$H119,Settings!$B$3,IF($I119&lt;$H119,Settings!$B$4,Settings!$B$5)))))</f>
        <v>3</v>
      </c>
      <c r="L119" s="42">
        <f t="shared" si="2"/>
        <v>1</v>
      </c>
      <c r="M119" s="42">
        <f t="shared" si="3"/>
        <v>0</v>
      </c>
      <c r="N119" s="42">
        <f t="shared" si="4"/>
        <v>0</v>
      </c>
      <c r="O119" s="42">
        <f t="shared" si="5"/>
        <v>1</v>
      </c>
      <c r="P119" s="42">
        <f t="shared" si="6"/>
        <v>1</v>
      </c>
      <c r="Q119" s="42">
        <f t="shared" si="7"/>
        <v>0</v>
      </c>
      <c r="R119" s="42">
        <f t="shared" si="8"/>
        <v>0</v>
      </c>
      <c r="S119" s="43" t="str">
        <f t="shared" si="9"/>
        <v>SON OF GOD</v>
      </c>
      <c r="T119" s="41"/>
      <c r="U119" s="28">
        <f t="shared" si="10"/>
        <v>-3</v>
      </c>
      <c r="V119" s="28">
        <f t="shared" ref="V119:W119" si="127">IF($L119=0,"",$I119-$H119)</f>
        <v>3</v>
      </c>
      <c r="W119" s="28">
        <f t="shared" si="127"/>
        <v>3</v>
      </c>
      <c r="X119" s="28">
        <f t="shared" si="12"/>
        <v>-3</v>
      </c>
      <c r="Y119" s="28"/>
      <c r="Z119" s="28"/>
    </row>
    <row r="120" ht="15.75" customHeight="1">
      <c r="A120" s="38">
        <v>118.0</v>
      </c>
      <c r="B120" s="39">
        <v>46074.0</v>
      </c>
      <c r="C120" s="40" t="s">
        <v>106</v>
      </c>
      <c r="D120" s="40" t="s">
        <v>100</v>
      </c>
      <c r="E120" s="40">
        <v>1.0</v>
      </c>
      <c r="F120" s="40">
        <v>12.0</v>
      </c>
      <c r="G120" s="41" t="s">
        <v>5</v>
      </c>
      <c r="H120" s="42">
        <f>IF($G120="Walkover_Home",Settings!$B$10,IF($G120="Walkover_Away",Settings!$B$11,IF($G120="Cancelled","",IF($E120="","",$E120))))</f>
        <v>1</v>
      </c>
      <c r="I120" s="42">
        <f>IF($G120="Walkover_Home",Settings!$B$11,IF($G120="Walkover_Away",Settings!$B$10,IF($G120="Cancelled","",IF($F120="","",$F120))))</f>
        <v>12</v>
      </c>
      <c r="J120" s="42">
        <f>IF($L120=0,"",IF($G120="Walkover_Home",Settings!$B$7,IF($G120="Walkover_Away",Settings!$B$8,IF($H120&gt;$I120,Settings!$B$3,IF($H120&lt;$I120,Settings!$B$4,Settings!$B$5)))))</f>
        <v>0</v>
      </c>
      <c r="K120" s="42">
        <f>IF($L120=0,"",IF($G120="Walkover_Home",Settings!$B$8,IF($G120="Walkover_Away",Settings!$B$7,IF($I120&gt;$H120,Settings!$B$3,IF($I120&lt;$H120,Settings!$B$4,Settings!$B$5)))))</f>
        <v>3</v>
      </c>
      <c r="L120" s="42">
        <f t="shared" si="2"/>
        <v>1</v>
      </c>
      <c r="M120" s="42">
        <f t="shared" si="3"/>
        <v>0</v>
      </c>
      <c r="N120" s="42">
        <f t="shared" si="4"/>
        <v>0</v>
      </c>
      <c r="O120" s="42">
        <f t="shared" si="5"/>
        <v>1</v>
      </c>
      <c r="P120" s="42">
        <f t="shared" si="6"/>
        <v>1</v>
      </c>
      <c r="Q120" s="42">
        <f t="shared" si="7"/>
        <v>0</v>
      </c>
      <c r="R120" s="42">
        <f t="shared" si="8"/>
        <v>0</v>
      </c>
      <c r="S120" s="43" t="str">
        <f t="shared" si="9"/>
        <v>TACTICAL</v>
      </c>
      <c r="T120" s="41"/>
      <c r="U120" s="28">
        <f t="shared" si="10"/>
        <v>-11</v>
      </c>
      <c r="V120" s="28">
        <f t="shared" ref="V120:W120" si="128">IF($L120=0,"",$I120-$H120)</f>
        <v>11</v>
      </c>
      <c r="W120" s="28">
        <f t="shared" si="128"/>
        <v>11</v>
      </c>
      <c r="X120" s="28">
        <f t="shared" si="12"/>
        <v>-11</v>
      </c>
      <c r="Y120" s="28"/>
      <c r="Z120" s="28"/>
    </row>
    <row r="121" ht="15.75" customHeight="1">
      <c r="A121" s="38">
        <v>119.0</v>
      </c>
      <c r="B121" s="39">
        <v>46074.0</v>
      </c>
      <c r="C121" s="40" t="s">
        <v>96</v>
      </c>
      <c r="D121" s="40" t="s">
        <v>108</v>
      </c>
      <c r="E121" s="40">
        <v>7.0</v>
      </c>
      <c r="F121" s="40">
        <v>5.0</v>
      </c>
      <c r="G121" s="41" t="s">
        <v>5</v>
      </c>
      <c r="H121" s="42">
        <f>IF($G121="Walkover_Home",Settings!$B$10,IF($G121="Walkover_Away",Settings!$B$11,IF($G121="Cancelled","",IF($E121="","",$E121))))</f>
        <v>7</v>
      </c>
      <c r="I121" s="42">
        <f>IF($G121="Walkover_Home",Settings!$B$11,IF($G121="Walkover_Away",Settings!$B$10,IF($G121="Cancelled","",IF($F121="","",$F121))))</f>
        <v>5</v>
      </c>
      <c r="J121" s="42">
        <f>IF($L121=0,"",IF($G121="Walkover_Home",Settings!$B$7,IF($G121="Walkover_Away",Settings!$B$8,IF($H121&gt;$I121,Settings!$B$3,IF($H121&lt;$I121,Settings!$B$4,Settings!$B$5)))))</f>
        <v>3</v>
      </c>
      <c r="K121" s="42">
        <f>IF($L121=0,"",IF($G121="Walkover_Home",Settings!$B$8,IF($G121="Walkover_Away",Settings!$B$7,IF($I121&gt;$H121,Settings!$B$3,IF($I121&lt;$H121,Settings!$B$4,Settings!$B$5)))))</f>
        <v>0</v>
      </c>
      <c r="L121" s="42">
        <f t="shared" si="2"/>
        <v>1</v>
      </c>
      <c r="M121" s="42">
        <f t="shared" si="3"/>
        <v>1</v>
      </c>
      <c r="N121" s="42">
        <f t="shared" si="4"/>
        <v>0</v>
      </c>
      <c r="O121" s="42">
        <f t="shared" si="5"/>
        <v>0</v>
      </c>
      <c r="P121" s="42">
        <f t="shared" si="6"/>
        <v>0</v>
      </c>
      <c r="Q121" s="42">
        <f t="shared" si="7"/>
        <v>0</v>
      </c>
      <c r="R121" s="42">
        <f t="shared" si="8"/>
        <v>1</v>
      </c>
      <c r="S121" s="43" t="str">
        <f t="shared" si="9"/>
        <v>ANIFE</v>
      </c>
      <c r="T121" s="41"/>
      <c r="U121" s="28">
        <f t="shared" si="10"/>
        <v>2</v>
      </c>
      <c r="V121" s="28">
        <f t="shared" ref="V121:W121" si="129">IF($L121=0,"",$I121-$H121)</f>
        <v>-2</v>
      </c>
      <c r="W121" s="28">
        <f t="shared" si="129"/>
        <v>-2</v>
      </c>
      <c r="X121" s="28">
        <f t="shared" si="12"/>
        <v>2</v>
      </c>
      <c r="Y121" s="28"/>
      <c r="Z121" s="28"/>
    </row>
    <row r="122" ht="15.75" customHeight="1">
      <c r="A122" s="38">
        <v>120.0</v>
      </c>
      <c r="B122" s="39">
        <v>46074.0</v>
      </c>
      <c r="C122" s="40" t="s">
        <v>107</v>
      </c>
      <c r="D122" s="40" t="s">
        <v>99</v>
      </c>
      <c r="E122" s="40">
        <v>0.0</v>
      </c>
      <c r="F122" s="40">
        <v>3.0</v>
      </c>
      <c r="G122" s="41" t="s">
        <v>5</v>
      </c>
      <c r="H122" s="42">
        <f>IF($G122="Walkover_Home",Settings!$B$10,IF($G122="Walkover_Away",Settings!$B$11,IF($G122="Cancelled","",IF($E122="","",$E122))))</f>
        <v>0</v>
      </c>
      <c r="I122" s="42">
        <f>IF($G122="Walkover_Home",Settings!$B$11,IF($G122="Walkover_Away",Settings!$B$10,IF($G122="Cancelled","",IF($F122="","",$F122))))</f>
        <v>3</v>
      </c>
      <c r="J122" s="42">
        <f>IF($L122=0,"",IF($G122="Walkover_Home",Settings!$B$7,IF($G122="Walkover_Away",Settings!$B$8,IF($H122&gt;$I122,Settings!$B$3,IF($H122&lt;$I122,Settings!$B$4,Settings!$B$5)))))</f>
        <v>0</v>
      </c>
      <c r="K122" s="42">
        <f>IF($L122=0,"",IF($G122="Walkover_Home",Settings!$B$8,IF($G122="Walkover_Away",Settings!$B$7,IF($I122&gt;$H122,Settings!$B$3,IF($I122&lt;$H122,Settings!$B$4,Settings!$B$5)))))</f>
        <v>3</v>
      </c>
      <c r="L122" s="42">
        <f t="shared" si="2"/>
        <v>1</v>
      </c>
      <c r="M122" s="42">
        <f t="shared" si="3"/>
        <v>0</v>
      </c>
      <c r="N122" s="42">
        <f t="shared" si="4"/>
        <v>0</v>
      </c>
      <c r="O122" s="42">
        <f t="shared" si="5"/>
        <v>1</v>
      </c>
      <c r="P122" s="42">
        <f t="shared" si="6"/>
        <v>1</v>
      </c>
      <c r="Q122" s="42">
        <f t="shared" si="7"/>
        <v>0</v>
      </c>
      <c r="R122" s="42">
        <f t="shared" si="8"/>
        <v>0</v>
      </c>
      <c r="S122" s="43" t="str">
        <f t="shared" si="9"/>
        <v>KAYKAY</v>
      </c>
      <c r="T122" s="41"/>
      <c r="U122" s="28">
        <f t="shared" si="10"/>
        <v>-3</v>
      </c>
      <c r="V122" s="28">
        <f t="shared" ref="V122:W122" si="130">IF($L122=0,"",$I122-$H122)</f>
        <v>3</v>
      </c>
      <c r="W122" s="28">
        <f t="shared" si="130"/>
        <v>3</v>
      </c>
      <c r="X122" s="28">
        <f t="shared" si="12"/>
        <v>-3</v>
      </c>
      <c r="Y122" s="28"/>
      <c r="Z122" s="28"/>
    </row>
    <row r="123" ht="15.75" customHeight="1">
      <c r="A123" s="38">
        <v>121.0</v>
      </c>
      <c r="B123" s="39">
        <v>46074.0</v>
      </c>
      <c r="C123" s="40" t="s">
        <v>101</v>
      </c>
      <c r="D123" s="40" t="s">
        <v>104</v>
      </c>
      <c r="E123" s="40">
        <v>5.0</v>
      </c>
      <c r="F123" s="40">
        <v>4.0</v>
      </c>
      <c r="G123" s="41" t="s">
        <v>5</v>
      </c>
      <c r="H123" s="42">
        <f>IF($G123="Walkover_Home",Settings!$B$10,IF($G123="Walkover_Away",Settings!$B$11,IF($G123="Cancelled","",IF($E123="","",$E123))))</f>
        <v>5</v>
      </c>
      <c r="I123" s="42">
        <f>IF($G123="Walkover_Home",Settings!$B$11,IF($G123="Walkover_Away",Settings!$B$10,IF($G123="Cancelled","",IF($F123="","",$F123))))</f>
        <v>4</v>
      </c>
      <c r="J123" s="42">
        <f>IF($L123=0,"",IF($G123="Walkover_Home",Settings!$B$7,IF($G123="Walkover_Away",Settings!$B$8,IF($H123&gt;$I123,Settings!$B$3,IF($H123&lt;$I123,Settings!$B$4,Settings!$B$5)))))</f>
        <v>3</v>
      </c>
      <c r="K123" s="42">
        <f>IF($L123=0,"",IF($G123="Walkover_Home",Settings!$B$8,IF($G123="Walkover_Away",Settings!$B$7,IF($I123&gt;$H123,Settings!$B$3,IF($I123&lt;$H123,Settings!$B$4,Settings!$B$5)))))</f>
        <v>0</v>
      </c>
      <c r="L123" s="42">
        <f t="shared" si="2"/>
        <v>1</v>
      </c>
      <c r="M123" s="42">
        <f t="shared" si="3"/>
        <v>1</v>
      </c>
      <c r="N123" s="42">
        <f t="shared" si="4"/>
        <v>0</v>
      </c>
      <c r="O123" s="42">
        <f t="shared" si="5"/>
        <v>0</v>
      </c>
      <c r="P123" s="42">
        <f t="shared" si="6"/>
        <v>0</v>
      </c>
      <c r="Q123" s="42">
        <f t="shared" si="7"/>
        <v>0</v>
      </c>
      <c r="R123" s="42">
        <f t="shared" si="8"/>
        <v>1</v>
      </c>
      <c r="S123" s="43" t="str">
        <f t="shared" si="9"/>
        <v>WOLEVATION</v>
      </c>
      <c r="T123" s="41"/>
      <c r="U123" s="28">
        <f t="shared" si="10"/>
        <v>1</v>
      </c>
      <c r="V123" s="28">
        <f t="shared" ref="V123:W123" si="131">IF($L123=0,"",$I123-$H123)</f>
        <v>-1</v>
      </c>
      <c r="W123" s="28">
        <f t="shared" si="131"/>
        <v>-1</v>
      </c>
      <c r="X123" s="28">
        <f t="shared" si="12"/>
        <v>1</v>
      </c>
      <c r="Y123" s="28"/>
      <c r="Z123" s="28"/>
    </row>
    <row r="124" ht="15.75" customHeight="1">
      <c r="A124" s="38">
        <v>122.0</v>
      </c>
      <c r="B124" s="39">
        <v>46074.0</v>
      </c>
      <c r="C124" s="40" t="s">
        <v>105</v>
      </c>
      <c r="D124" s="40" t="s">
        <v>109</v>
      </c>
      <c r="E124" s="40">
        <v>5.0</v>
      </c>
      <c r="F124" s="40">
        <v>2.0</v>
      </c>
      <c r="G124" s="41" t="s">
        <v>5</v>
      </c>
      <c r="H124" s="42">
        <f>IF($G124="Walkover_Home",Settings!$B$10,IF($G124="Walkover_Away",Settings!$B$11,IF($G124="Cancelled","",IF($E124="","",$E124))))</f>
        <v>5</v>
      </c>
      <c r="I124" s="42">
        <f>IF($G124="Walkover_Home",Settings!$B$11,IF($G124="Walkover_Away",Settings!$B$10,IF($G124="Cancelled","",IF($F124="","",$F124))))</f>
        <v>2</v>
      </c>
      <c r="J124" s="42">
        <f>IF($L124=0,"",IF($G124="Walkover_Home",Settings!$B$7,IF($G124="Walkover_Away",Settings!$B$8,IF($H124&gt;$I124,Settings!$B$3,IF($H124&lt;$I124,Settings!$B$4,Settings!$B$5)))))</f>
        <v>3</v>
      </c>
      <c r="K124" s="42">
        <f>IF($L124=0,"",IF($G124="Walkover_Home",Settings!$B$8,IF($G124="Walkover_Away",Settings!$B$7,IF($I124&gt;$H124,Settings!$B$3,IF($I124&lt;$H124,Settings!$B$4,Settings!$B$5)))))</f>
        <v>0</v>
      </c>
      <c r="L124" s="42">
        <f t="shared" si="2"/>
        <v>1</v>
      </c>
      <c r="M124" s="42">
        <f t="shared" si="3"/>
        <v>1</v>
      </c>
      <c r="N124" s="42">
        <f t="shared" si="4"/>
        <v>0</v>
      </c>
      <c r="O124" s="42">
        <f t="shared" si="5"/>
        <v>0</v>
      </c>
      <c r="P124" s="42">
        <f t="shared" si="6"/>
        <v>0</v>
      </c>
      <c r="Q124" s="42">
        <f t="shared" si="7"/>
        <v>0</v>
      </c>
      <c r="R124" s="42">
        <f t="shared" si="8"/>
        <v>1</v>
      </c>
      <c r="S124" s="43" t="str">
        <f t="shared" si="9"/>
        <v>RHYMEZ</v>
      </c>
      <c r="T124" s="41"/>
      <c r="U124" s="28">
        <f t="shared" si="10"/>
        <v>3</v>
      </c>
      <c r="V124" s="28">
        <f t="shared" ref="V124:W124" si="132">IF($L124=0,"",$I124-$H124)</f>
        <v>-3</v>
      </c>
      <c r="W124" s="28">
        <f t="shared" si="132"/>
        <v>-3</v>
      </c>
      <c r="X124" s="28">
        <f t="shared" si="12"/>
        <v>3</v>
      </c>
      <c r="Y124" s="28"/>
      <c r="Z124" s="28"/>
    </row>
    <row r="125" ht="15.75" customHeight="1">
      <c r="A125" s="38">
        <v>123.0</v>
      </c>
      <c r="B125" s="39">
        <v>46074.0</v>
      </c>
      <c r="C125" s="40" t="s">
        <v>95</v>
      </c>
      <c r="D125" s="40" t="s">
        <v>110</v>
      </c>
      <c r="E125" s="40">
        <v>10.0</v>
      </c>
      <c r="F125" s="40">
        <v>3.0</v>
      </c>
      <c r="G125" s="41" t="s">
        <v>5</v>
      </c>
      <c r="H125" s="42">
        <f>IF($G125="Walkover_Home",Settings!$B$10,IF($G125="Walkover_Away",Settings!$B$11,IF($G125="Cancelled","",IF($E125="","",$E125))))</f>
        <v>10</v>
      </c>
      <c r="I125" s="42">
        <f>IF($G125="Walkover_Home",Settings!$B$11,IF($G125="Walkover_Away",Settings!$B$10,IF($G125="Cancelled","",IF($F125="","",$F125))))</f>
        <v>3</v>
      </c>
      <c r="J125" s="42">
        <f>IF($L125=0,"",IF($G125="Walkover_Home",Settings!$B$7,IF($G125="Walkover_Away",Settings!$B$8,IF($H125&gt;$I125,Settings!$B$3,IF($H125&lt;$I125,Settings!$B$4,Settings!$B$5)))))</f>
        <v>3</v>
      </c>
      <c r="K125" s="42">
        <f>IF($L125=0,"",IF($G125="Walkover_Home",Settings!$B$8,IF($G125="Walkover_Away",Settings!$B$7,IF($I125&gt;$H125,Settings!$B$3,IF($I125&lt;$H125,Settings!$B$4,Settings!$B$5)))))</f>
        <v>0</v>
      </c>
      <c r="L125" s="42">
        <f t="shared" si="2"/>
        <v>1</v>
      </c>
      <c r="M125" s="42">
        <f t="shared" si="3"/>
        <v>1</v>
      </c>
      <c r="N125" s="42">
        <f t="shared" si="4"/>
        <v>0</v>
      </c>
      <c r="O125" s="42">
        <f t="shared" si="5"/>
        <v>0</v>
      </c>
      <c r="P125" s="42">
        <f t="shared" si="6"/>
        <v>0</v>
      </c>
      <c r="Q125" s="42">
        <f t="shared" si="7"/>
        <v>0</v>
      </c>
      <c r="R125" s="42">
        <f t="shared" si="8"/>
        <v>1</v>
      </c>
      <c r="S125" s="43" t="str">
        <f t="shared" si="9"/>
        <v>MR OGA</v>
      </c>
      <c r="T125" s="41"/>
      <c r="U125" s="28">
        <f t="shared" si="10"/>
        <v>7</v>
      </c>
      <c r="V125" s="28">
        <f t="shared" ref="V125:W125" si="133">IF($L125=0,"",$I125-$H125)</f>
        <v>-7</v>
      </c>
      <c r="W125" s="28">
        <f t="shared" si="133"/>
        <v>-7</v>
      </c>
      <c r="X125" s="28">
        <f t="shared" si="12"/>
        <v>7</v>
      </c>
      <c r="Y125" s="28"/>
      <c r="Z125" s="28"/>
    </row>
    <row r="126" ht="15.75" customHeight="1">
      <c r="A126" s="38">
        <v>124.0</v>
      </c>
      <c r="B126" s="39">
        <v>46074.0</v>
      </c>
      <c r="C126" s="40" t="s">
        <v>113</v>
      </c>
      <c r="D126" s="40" t="s">
        <v>97</v>
      </c>
      <c r="E126" s="40">
        <v>1.0</v>
      </c>
      <c r="F126" s="40">
        <v>8.0</v>
      </c>
      <c r="G126" s="41" t="s">
        <v>5</v>
      </c>
      <c r="H126" s="42">
        <f>IF($G126="Walkover_Home",Settings!$B$10,IF($G126="Walkover_Away",Settings!$B$11,IF($G126="Cancelled","",IF($E126="","",$E126))))</f>
        <v>1</v>
      </c>
      <c r="I126" s="42">
        <f>IF($G126="Walkover_Home",Settings!$B$11,IF($G126="Walkover_Away",Settings!$B$10,IF($G126="Cancelled","",IF($F126="","",$F126))))</f>
        <v>8</v>
      </c>
      <c r="J126" s="42">
        <f>IF($L126=0,"",IF($G126="Walkover_Home",Settings!$B$7,IF($G126="Walkover_Away",Settings!$B$8,IF($H126&gt;$I126,Settings!$B$3,IF($H126&lt;$I126,Settings!$B$4,Settings!$B$5)))))</f>
        <v>0</v>
      </c>
      <c r="K126" s="42">
        <f>IF($L126=0,"",IF($G126="Walkover_Home",Settings!$B$8,IF($G126="Walkover_Away",Settings!$B$7,IF($I126&gt;$H126,Settings!$B$3,IF($I126&lt;$H126,Settings!$B$4,Settings!$B$5)))))</f>
        <v>3</v>
      </c>
      <c r="L126" s="42">
        <f t="shared" si="2"/>
        <v>1</v>
      </c>
      <c r="M126" s="42">
        <f t="shared" si="3"/>
        <v>0</v>
      </c>
      <c r="N126" s="42">
        <f t="shared" si="4"/>
        <v>0</v>
      </c>
      <c r="O126" s="42">
        <f t="shared" si="5"/>
        <v>1</v>
      </c>
      <c r="P126" s="42">
        <f t="shared" si="6"/>
        <v>1</v>
      </c>
      <c r="Q126" s="42">
        <f t="shared" si="7"/>
        <v>0</v>
      </c>
      <c r="R126" s="42">
        <f t="shared" si="8"/>
        <v>0</v>
      </c>
      <c r="S126" s="43" t="str">
        <f t="shared" si="9"/>
        <v>BAJI SNR</v>
      </c>
      <c r="T126" s="41"/>
      <c r="U126" s="28">
        <f t="shared" si="10"/>
        <v>-7</v>
      </c>
      <c r="V126" s="28">
        <f t="shared" ref="V126:W126" si="134">IF($L126=0,"",$I126-$H126)</f>
        <v>7</v>
      </c>
      <c r="W126" s="28">
        <f t="shared" si="134"/>
        <v>7</v>
      </c>
      <c r="X126" s="28">
        <f t="shared" si="12"/>
        <v>-7</v>
      </c>
      <c r="Y126" s="28"/>
      <c r="Z126" s="28"/>
    </row>
    <row r="127" ht="15.75" customHeight="1">
      <c r="A127" s="38">
        <v>125.0</v>
      </c>
      <c r="B127" s="39">
        <v>46075.0</v>
      </c>
      <c r="C127" s="40" t="s">
        <v>113</v>
      </c>
      <c r="D127" s="40" t="s">
        <v>109</v>
      </c>
      <c r="E127" s="40">
        <v>0.0</v>
      </c>
      <c r="F127" s="40">
        <v>3.0</v>
      </c>
      <c r="G127" s="41" t="s">
        <v>5</v>
      </c>
      <c r="H127" s="42">
        <f>IF($G127="Walkover_Home",Settings!$B$10,IF($G127="Walkover_Away",Settings!$B$11,IF($G127="Cancelled","",IF($E127="","",$E127))))</f>
        <v>0</v>
      </c>
      <c r="I127" s="42">
        <f>IF($G127="Walkover_Home",Settings!$B$11,IF($G127="Walkover_Away",Settings!$B$10,IF($G127="Cancelled","",IF($F127="","",$F127))))</f>
        <v>3</v>
      </c>
      <c r="J127" s="42">
        <f>IF($L127=0,"",IF($G127="Walkover_Home",Settings!$B$7,IF($G127="Walkover_Away",Settings!$B$8,IF($H127&gt;$I127,Settings!$B$3,IF($H127&lt;$I127,Settings!$B$4,Settings!$B$5)))))</f>
        <v>0</v>
      </c>
      <c r="K127" s="42">
        <f>IF($L127=0,"",IF($G127="Walkover_Home",Settings!$B$8,IF($G127="Walkover_Away",Settings!$B$7,IF($I127&gt;$H127,Settings!$B$3,IF($I127&lt;$H127,Settings!$B$4,Settings!$B$5)))))</f>
        <v>3</v>
      </c>
      <c r="L127" s="42">
        <f t="shared" si="2"/>
        <v>1</v>
      </c>
      <c r="M127" s="42">
        <f t="shared" si="3"/>
        <v>0</v>
      </c>
      <c r="N127" s="42">
        <f t="shared" si="4"/>
        <v>0</v>
      </c>
      <c r="O127" s="42">
        <f t="shared" si="5"/>
        <v>1</v>
      </c>
      <c r="P127" s="42">
        <f t="shared" si="6"/>
        <v>1</v>
      </c>
      <c r="Q127" s="42">
        <f t="shared" si="7"/>
        <v>0</v>
      </c>
      <c r="R127" s="42">
        <f t="shared" si="8"/>
        <v>0</v>
      </c>
      <c r="S127" s="43" t="str">
        <f t="shared" si="9"/>
        <v>DADABOI</v>
      </c>
      <c r="T127" s="41"/>
      <c r="U127" s="28">
        <f t="shared" si="10"/>
        <v>-3</v>
      </c>
      <c r="V127" s="28">
        <f t="shared" ref="V127:W127" si="135">IF($L127=0,"",$I127-$H127)</f>
        <v>3</v>
      </c>
      <c r="W127" s="28">
        <f t="shared" si="135"/>
        <v>3</v>
      </c>
      <c r="X127" s="28">
        <f t="shared" si="12"/>
        <v>-3</v>
      </c>
      <c r="Y127" s="28"/>
      <c r="Z127" s="28"/>
    </row>
    <row r="128" ht="15.75" customHeight="1">
      <c r="A128" s="38">
        <v>126.0</v>
      </c>
      <c r="B128" s="39">
        <v>46075.0</v>
      </c>
      <c r="C128" s="40" t="s">
        <v>100</v>
      </c>
      <c r="D128" s="40" t="s">
        <v>97</v>
      </c>
      <c r="E128" s="40">
        <v>3.0</v>
      </c>
      <c r="F128" s="40">
        <v>0.0</v>
      </c>
      <c r="G128" s="41" t="s">
        <v>5</v>
      </c>
      <c r="H128" s="42">
        <f>IF($G128="Walkover_Home",Settings!$B$10,IF($G128="Walkover_Away",Settings!$B$11,IF($G128="Cancelled","",IF($E128="","",$E128))))</f>
        <v>3</v>
      </c>
      <c r="I128" s="42">
        <f>IF($G128="Walkover_Home",Settings!$B$11,IF($G128="Walkover_Away",Settings!$B$10,IF($G128="Cancelled","",IF($F128="","",$F128))))</f>
        <v>0</v>
      </c>
      <c r="J128" s="42">
        <f>IF($L128=0,"",IF($G128="Walkover_Home",Settings!$B$7,IF($G128="Walkover_Away",Settings!$B$8,IF($H128&gt;$I128,Settings!$B$3,IF($H128&lt;$I128,Settings!$B$4,Settings!$B$5)))))</f>
        <v>3</v>
      </c>
      <c r="K128" s="42">
        <f>IF($L128=0,"",IF($G128="Walkover_Home",Settings!$B$8,IF($G128="Walkover_Away",Settings!$B$7,IF($I128&gt;$H128,Settings!$B$3,IF($I128&lt;$H128,Settings!$B$4,Settings!$B$5)))))</f>
        <v>0</v>
      </c>
      <c r="L128" s="42">
        <f t="shared" si="2"/>
        <v>1</v>
      </c>
      <c r="M128" s="42">
        <f t="shared" si="3"/>
        <v>1</v>
      </c>
      <c r="N128" s="42">
        <f t="shared" si="4"/>
        <v>0</v>
      </c>
      <c r="O128" s="42">
        <f t="shared" si="5"/>
        <v>0</v>
      </c>
      <c r="P128" s="42">
        <f t="shared" si="6"/>
        <v>0</v>
      </c>
      <c r="Q128" s="42">
        <f t="shared" si="7"/>
        <v>0</v>
      </c>
      <c r="R128" s="42">
        <f t="shared" si="8"/>
        <v>1</v>
      </c>
      <c r="S128" s="43" t="str">
        <f t="shared" si="9"/>
        <v>TACTICAL</v>
      </c>
      <c r="T128" s="41"/>
      <c r="U128" s="28">
        <f t="shared" si="10"/>
        <v>3</v>
      </c>
      <c r="V128" s="28">
        <f t="shared" ref="V128:W128" si="136">IF($L128=0,"",$I128-$H128)</f>
        <v>-3</v>
      </c>
      <c r="W128" s="28">
        <f t="shared" si="136"/>
        <v>-3</v>
      </c>
      <c r="X128" s="28">
        <f t="shared" si="12"/>
        <v>3</v>
      </c>
      <c r="Y128" s="28"/>
      <c r="Z128" s="28"/>
    </row>
    <row r="129" ht="15.75" customHeight="1">
      <c r="A129" s="38">
        <v>127.0</v>
      </c>
      <c r="B129" s="39">
        <v>46075.0</v>
      </c>
      <c r="C129" s="40" t="s">
        <v>108</v>
      </c>
      <c r="D129" s="40" t="s">
        <v>95</v>
      </c>
      <c r="E129" s="40">
        <v>6.0</v>
      </c>
      <c r="F129" s="40">
        <v>3.0</v>
      </c>
      <c r="G129" s="40" t="s">
        <v>5</v>
      </c>
      <c r="H129" s="42">
        <f>IF($G129="Walkover_Home",Settings!$B$10,IF($G129="Walkover_Away",Settings!$B$11,IF($G129="Cancelled","",IF($E129="","",$E129))))</f>
        <v>6</v>
      </c>
      <c r="I129" s="42">
        <f>IF($G129="Walkover_Home",Settings!$B$11,IF($G129="Walkover_Away",Settings!$B$10,IF($G129="Cancelled","",IF($F129="","",$F129))))</f>
        <v>3</v>
      </c>
      <c r="J129" s="42">
        <f>IF($L129=0,"",IF($G129="Walkover_Home",Settings!$B$7,IF($G129="Walkover_Away",Settings!$B$8,IF($H129&gt;$I129,Settings!$B$3,IF($H129&lt;$I129,Settings!$B$4,Settings!$B$5)))))</f>
        <v>3</v>
      </c>
      <c r="K129" s="42">
        <f>IF($L129=0,"",IF($G129="Walkover_Home",Settings!$B$8,IF($G129="Walkover_Away",Settings!$B$7,IF($I129&gt;$H129,Settings!$B$3,IF($I129&lt;$H129,Settings!$B$4,Settings!$B$5)))))</f>
        <v>0</v>
      </c>
      <c r="L129" s="42">
        <f t="shared" si="2"/>
        <v>1</v>
      </c>
      <c r="M129" s="42">
        <f t="shared" si="3"/>
        <v>1</v>
      </c>
      <c r="N129" s="42">
        <f t="shared" si="4"/>
        <v>0</v>
      </c>
      <c r="O129" s="42">
        <f t="shared" si="5"/>
        <v>0</v>
      </c>
      <c r="P129" s="42">
        <f t="shared" si="6"/>
        <v>0</v>
      </c>
      <c r="Q129" s="42">
        <f t="shared" si="7"/>
        <v>0</v>
      </c>
      <c r="R129" s="42">
        <f t="shared" si="8"/>
        <v>1</v>
      </c>
      <c r="S129" s="43" t="str">
        <f t="shared" si="9"/>
        <v>GAMEWITHJOSH</v>
      </c>
      <c r="T129" s="41"/>
      <c r="U129" s="28">
        <f t="shared" si="10"/>
        <v>3</v>
      </c>
      <c r="V129" s="28">
        <f t="shared" ref="V129:W129" si="137">IF($L129=0,"",$I129-$H129)</f>
        <v>-3</v>
      </c>
      <c r="W129" s="28">
        <f t="shared" si="137"/>
        <v>-3</v>
      </c>
      <c r="X129" s="28">
        <f t="shared" si="12"/>
        <v>3</v>
      </c>
      <c r="Y129" s="28"/>
      <c r="Z129" s="28"/>
    </row>
    <row r="130" ht="15.75" customHeight="1">
      <c r="A130" s="38">
        <v>128.0</v>
      </c>
      <c r="B130" s="39">
        <v>46075.0</v>
      </c>
      <c r="C130" s="40" t="s">
        <v>103</v>
      </c>
      <c r="D130" s="40" t="s">
        <v>101</v>
      </c>
      <c r="E130" s="40">
        <v>2.0</v>
      </c>
      <c r="F130" s="40">
        <v>6.0</v>
      </c>
      <c r="G130" s="40" t="s">
        <v>5</v>
      </c>
      <c r="H130" s="42">
        <f>IF($G130="Walkover_Home",Settings!$B$10,IF($G130="Walkover_Away",Settings!$B$11,IF($G130="Cancelled","",IF($E130="","",$E130))))</f>
        <v>2</v>
      </c>
      <c r="I130" s="42">
        <f>IF($G130="Walkover_Home",Settings!$B$11,IF($G130="Walkover_Away",Settings!$B$10,IF($G130="Cancelled","",IF($F130="","",$F130))))</f>
        <v>6</v>
      </c>
      <c r="J130" s="42">
        <f>IF($L130=0,"",IF($G130="Walkover_Home",Settings!$B$7,IF($G130="Walkover_Away",Settings!$B$8,IF($H130&gt;$I130,Settings!$B$3,IF($H130&lt;$I130,Settings!$B$4,Settings!$B$5)))))</f>
        <v>0</v>
      </c>
      <c r="K130" s="42">
        <f>IF($L130=0,"",IF($G130="Walkover_Home",Settings!$B$8,IF($G130="Walkover_Away",Settings!$B$7,IF($I130&gt;$H130,Settings!$B$3,IF($I130&lt;$H130,Settings!$B$4,Settings!$B$5)))))</f>
        <v>3</v>
      </c>
      <c r="L130" s="42">
        <f t="shared" si="2"/>
        <v>1</v>
      </c>
      <c r="M130" s="42">
        <f t="shared" si="3"/>
        <v>0</v>
      </c>
      <c r="N130" s="42">
        <f t="shared" si="4"/>
        <v>0</v>
      </c>
      <c r="O130" s="42">
        <f t="shared" si="5"/>
        <v>1</v>
      </c>
      <c r="P130" s="42">
        <f t="shared" si="6"/>
        <v>1</v>
      </c>
      <c r="Q130" s="42">
        <f t="shared" si="7"/>
        <v>0</v>
      </c>
      <c r="R130" s="42">
        <f t="shared" si="8"/>
        <v>0</v>
      </c>
      <c r="S130" s="43" t="str">
        <f t="shared" si="9"/>
        <v>WOLEVATION</v>
      </c>
      <c r="T130" s="41"/>
      <c r="U130" s="28">
        <f t="shared" si="10"/>
        <v>-4</v>
      </c>
      <c r="V130" s="28">
        <f t="shared" ref="V130:W130" si="138">IF($L130=0,"",$I130-$H130)</f>
        <v>4</v>
      </c>
      <c r="W130" s="28">
        <f t="shared" si="138"/>
        <v>4</v>
      </c>
      <c r="X130" s="28">
        <f t="shared" si="12"/>
        <v>-4</v>
      </c>
      <c r="Y130" s="28"/>
      <c r="Z130" s="28"/>
    </row>
    <row r="131" ht="15.75" customHeight="1">
      <c r="A131" s="38">
        <v>129.0</v>
      </c>
      <c r="B131" s="39">
        <v>46075.0</v>
      </c>
      <c r="C131" s="40" t="s">
        <v>104</v>
      </c>
      <c r="D131" s="40" t="s">
        <v>105</v>
      </c>
      <c r="E131" s="40">
        <v>6.0</v>
      </c>
      <c r="F131" s="40">
        <v>6.0</v>
      </c>
      <c r="G131" s="41" t="s">
        <v>5</v>
      </c>
      <c r="H131" s="42">
        <f>IF($G131="Walkover_Home",Settings!$B$10,IF($G131="Walkover_Away",Settings!$B$11,IF($G131="Cancelled","",IF($E131="","",$E131))))</f>
        <v>6</v>
      </c>
      <c r="I131" s="42">
        <f>IF($G131="Walkover_Home",Settings!$B$11,IF($G131="Walkover_Away",Settings!$B$10,IF($G131="Cancelled","",IF($F131="","",$F131))))</f>
        <v>6</v>
      </c>
      <c r="J131" s="42">
        <f>IF($L131=0,"",IF($G131="Walkover_Home",Settings!$B$7,IF($G131="Walkover_Away",Settings!$B$8,IF($H131&gt;$I131,Settings!$B$3,IF($H131&lt;$I131,Settings!$B$4,Settings!$B$5)))))</f>
        <v>1</v>
      </c>
      <c r="K131" s="42">
        <f>IF($L131=0,"",IF($G131="Walkover_Home",Settings!$B$8,IF($G131="Walkover_Away",Settings!$B$7,IF($I131&gt;$H131,Settings!$B$3,IF($I131&lt;$H131,Settings!$B$4,Settings!$B$5)))))</f>
        <v>1</v>
      </c>
      <c r="L131" s="42">
        <f t="shared" si="2"/>
        <v>1</v>
      </c>
      <c r="M131" s="42">
        <f t="shared" si="3"/>
        <v>0</v>
      </c>
      <c r="N131" s="42">
        <f t="shared" si="4"/>
        <v>1</v>
      </c>
      <c r="O131" s="42">
        <f t="shared" si="5"/>
        <v>0</v>
      </c>
      <c r="P131" s="42">
        <f t="shared" si="6"/>
        <v>0</v>
      </c>
      <c r="Q131" s="42">
        <f t="shared" si="7"/>
        <v>1</v>
      </c>
      <c r="R131" s="42">
        <f t="shared" si="8"/>
        <v>0</v>
      </c>
      <c r="S131" s="43" t="str">
        <f t="shared" si="9"/>
        <v>Draw</v>
      </c>
      <c r="T131" s="41"/>
      <c r="U131" s="28">
        <f t="shared" si="10"/>
        <v>0</v>
      </c>
      <c r="V131" s="28">
        <f t="shared" ref="V131:W131" si="139">IF($L131=0,"",$I131-$H131)</f>
        <v>0</v>
      </c>
      <c r="W131" s="28">
        <f t="shared" si="139"/>
        <v>0</v>
      </c>
      <c r="X131" s="28">
        <f t="shared" si="12"/>
        <v>0</v>
      </c>
      <c r="Y131" s="28"/>
      <c r="Z131" s="28"/>
    </row>
    <row r="132" ht="15.75" customHeight="1">
      <c r="A132" s="38">
        <v>130.0</v>
      </c>
      <c r="B132" s="39">
        <v>46075.0</v>
      </c>
      <c r="C132" s="40" t="s">
        <v>98</v>
      </c>
      <c r="D132" s="40" t="s">
        <v>112</v>
      </c>
      <c r="E132" s="40">
        <v>3.0</v>
      </c>
      <c r="F132" s="40">
        <v>0.0</v>
      </c>
      <c r="G132" s="40" t="s">
        <v>5</v>
      </c>
      <c r="H132" s="42">
        <f>IF($G132="Walkover_Home",Settings!$B$10,IF($G132="Walkover_Away",Settings!$B$11,IF($G132="Cancelled","",IF($E132="","",$E132))))</f>
        <v>3</v>
      </c>
      <c r="I132" s="42">
        <f>IF($G132="Walkover_Home",Settings!$B$11,IF($G132="Walkover_Away",Settings!$B$10,IF($G132="Cancelled","",IF($F132="","",$F132))))</f>
        <v>0</v>
      </c>
      <c r="J132" s="42">
        <f>IF($L132=0,"",IF($G132="Walkover_Home",Settings!$B$7,IF($G132="Walkover_Away",Settings!$B$8,IF($H132&gt;$I132,Settings!$B$3,IF($H132&lt;$I132,Settings!$B$4,Settings!$B$5)))))</f>
        <v>3</v>
      </c>
      <c r="K132" s="42">
        <f>IF($L132=0,"",IF($G132="Walkover_Home",Settings!$B$8,IF($G132="Walkover_Away",Settings!$B$7,IF($I132&gt;$H132,Settings!$B$3,IF($I132&lt;$H132,Settings!$B$4,Settings!$B$5)))))</f>
        <v>0</v>
      </c>
      <c r="L132" s="42">
        <f t="shared" si="2"/>
        <v>1</v>
      </c>
      <c r="M132" s="42">
        <f t="shared" si="3"/>
        <v>1</v>
      </c>
      <c r="N132" s="42">
        <f t="shared" si="4"/>
        <v>0</v>
      </c>
      <c r="O132" s="42">
        <f t="shared" si="5"/>
        <v>0</v>
      </c>
      <c r="P132" s="42">
        <f t="shared" si="6"/>
        <v>0</v>
      </c>
      <c r="Q132" s="42">
        <f t="shared" si="7"/>
        <v>0</v>
      </c>
      <c r="R132" s="42">
        <f t="shared" si="8"/>
        <v>1</v>
      </c>
      <c r="S132" s="43" t="str">
        <f t="shared" si="9"/>
        <v>GURU</v>
      </c>
      <c r="T132" s="41"/>
      <c r="U132" s="28">
        <f t="shared" si="10"/>
        <v>3</v>
      </c>
      <c r="V132" s="28">
        <f t="shared" ref="V132:W132" si="140">IF($L132=0,"",$I132-$H132)</f>
        <v>-3</v>
      </c>
      <c r="W132" s="28">
        <f t="shared" si="140"/>
        <v>-3</v>
      </c>
      <c r="X132" s="28">
        <f t="shared" si="12"/>
        <v>3</v>
      </c>
      <c r="Y132" s="28"/>
      <c r="Z132" s="28"/>
    </row>
    <row r="133" ht="15.75" customHeight="1">
      <c r="A133" s="38">
        <v>131.0</v>
      </c>
      <c r="B133" s="39">
        <v>46075.0</v>
      </c>
      <c r="C133" s="40" t="s">
        <v>114</v>
      </c>
      <c r="D133" s="40" t="s">
        <v>111</v>
      </c>
      <c r="E133" s="40">
        <v>4.0</v>
      </c>
      <c r="F133" s="40">
        <v>1.0</v>
      </c>
      <c r="G133" s="41" t="s">
        <v>5</v>
      </c>
      <c r="H133" s="42">
        <f>IF($G133="Walkover_Home",Settings!$B$10,IF($G133="Walkover_Away",Settings!$B$11,IF($G133="Cancelled","",IF($E133="","",$E133))))</f>
        <v>4</v>
      </c>
      <c r="I133" s="42">
        <f>IF($G133="Walkover_Home",Settings!$B$11,IF($G133="Walkover_Away",Settings!$B$10,IF($G133="Cancelled","",IF($F133="","",$F133))))</f>
        <v>1</v>
      </c>
      <c r="J133" s="42">
        <f>IF($L133=0,"",IF($G133="Walkover_Home",Settings!$B$7,IF($G133="Walkover_Away",Settings!$B$8,IF($H133&gt;$I133,Settings!$B$3,IF($H133&lt;$I133,Settings!$B$4,Settings!$B$5)))))</f>
        <v>3</v>
      </c>
      <c r="K133" s="42">
        <f>IF($L133=0,"",IF($G133="Walkover_Home",Settings!$B$8,IF($G133="Walkover_Away",Settings!$B$7,IF($I133&gt;$H133,Settings!$B$3,IF($I133&lt;$H133,Settings!$B$4,Settings!$B$5)))))</f>
        <v>0</v>
      </c>
      <c r="L133" s="42">
        <f t="shared" si="2"/>
        <v>1</v>
      </c>
      <c r="M133" s="42">
        <f t="shared" si="3"/>
        <v>1</v>
      </c>
      <c r="N133" s="42">
        <f t="shared" si="4"/>
        <v>0</v>
      </c>
      <c r="O133" s="42">
        <f t="shared" si="5"/>
        <v>0</v>
      </c>
      <c r="P133" s="42">
        <f t="shared" si="6"/>
        <v>0</v>
      </c>
      <c r="Q133" s="42">
        <f t="shared" si="7"/>
        <v>0</v>
      </c>
      <c r="R133" s="42">
        <f t="shared" si="8"/>
        <v>1</v>
      </c>
      <c r="S133" s="43" t="str">
        <f t="shared" si="9"/>
        <v>KINGNONEX</v>
      </c>
      <c r="T133" s="41"/>
      <c r="U133" s="28">
        <f t="shared" si="10"/>
        <v>3</v>
      </c>
      <c r="V133" s="28">
        <f t="shared" ref="V133:W133" si="141">IF($L133=0,"",$I133-$H133)</f>
        <v>-3</v>
      </c>
      <c r="W133" s="28">
        <f t="shared" si="141"/>
        <v>-3</v>
      </c>
      <c r="X133" s="28">
        <f t="shared" si="12"/>
        <v>3</v>
      </c>
      <c r="Y133" s="28"/>
      <c r="Z133" s="28"/>
    </row>
    <row r="134" ht="15.75" customHeight="1">
      <c r="A134" s="38">
        <v>132.0</v>
      </c>
      <c r="B134" s="39">
        <v>46075.0</v>
      </c>
      <c r="C134" s="40" t="s">
        <v>106</v>
      </c>
      <c r="D134" s="40" t="s">
        <v>96</v>
      </c>
      <c r="E134" s="40">
        <v>6.0</v>
      </c>
      <c r="F134" s="40">
        <v>10.0</v>
      </c>
      <c r="G134" s="41" t="s">
        <v>5</v>
      </c>
      <c r="H134" s="42">
        <f>IF($G134="Walkover_Home",Settings!$B$10,IF($G134="Walkover_Away",Settings!$B$11,IF($G134="Cancelled","",IF($E134="","",$E134))))</f>
        <v>6</v>
      </c>
      <c r="I134" s="42">
        <f>IF($G134="Walkover_Home",Settings!$B$11,IF($G134="Walkover_Away",Settings!$B$10,IF($G134="Cancelled","",IF($F134="","",$F134))))</f>
        <v>10</v>
      </c>
      <c r="J134" s="42">
        <f>IF($L134=0,"",IF($G134="Walkover_Home",Settings!$B$7,IF($G134="Walkover_Away",Settings!$B$8,IF($H134&gt;$I134,Settings!$B$3,IF($H134&lt;$I134,Settings!$B$4,Settings!$B$5)))))</f>
        <v>0</v>
      </c>
      <c r="K134" s="42">
        <f>IF($L134=0,"",IF($G134="Walkover_Home",Settings!$B$8,IF($G134="Walkover_Away",Settings!$B$7,IF($I134&gt;$H134,Settings!$B$3,IF($I134&lt;$H134,Settings!$B$4,Settings!$B$5)))))</f>
        <v>3</v>
      </c>
      <c r="L134" s="42">
        <f t="shared" si="2"/>
        <v>1</v>
      </c>
      <c r="M134" s="42">
        <f t="shared" si="3"/>
        <v>0</v>
      </c>
      <c r="N134" s="42">
        <f t="shared" si="4"/>
        <v>0</v>
      </c>
      <c r="O134" s="42">
        <f t="shared" si="5"/>
        <v>1</v>
      </c>
      <c r="P134" s="42">
        <f t="shared" si="6"/>
        <v>1</v>
      </c>
      <c r="Q134" s="42">
        <f t="shared" si="7"/>
        <v>0</v>
      </c>
      <c r="R134" s="42">
        <f t="shared" si="8"/>
        <v>0</v>
      </c>
      <c r="S134" s="43" t="str">
        <f t="shared" si="9"/>
        <v>ANIFE</v>
      </c>
      <c r="T134" s="41"/>
      <c r="U134" s="28">
        <f t="shared" si="10"/>
        <v>-4</v>
      </c>
      <c r="V134" s="28">
        <f t="shared" ref="V134:W134" si="142">IF($L134=0,"",$I134-$H134)</f>
        <v>4</v>
      </c>
      <c r="W134" s="28">
        <f t="shared" si="142"/>
        <v>4</v>
      </c>
      <c r="X134" s="28">
        <f t="shared" si="12"/>
        <v>-4</v>
      </c>
      <c r="Y134" s="28"/>
      <c r="Z134" s="28"/>
    </row>
    <row r="135" ht="15.75" customHeight="1">
      <c r="A135" s="38">
        <v>133.0</v>
      </c>
      <c r="B135" s="39">
        <v>46075.0</v>
      </c>
      <c r="C135" s="40" t="s">
        <v>98</v>
      </c>
      <c r="D135" s="40" t="s">
        <v>107</v>
      </c>
      <c r="E135" s="40">
        <v>8.0</v>
      </c>
      <c r="F135" s="40">
        <v>4.0</v>
      </c>
      <c r="G135" s="41" t="s">
        <v>5</v>
      </c>
      <c r="H135" s="42">
        <f>IF($G135="Walkover_Home",Settings!$B$10,IF($G135="Walkover_Away",Settings!$B$11,IF($G135="Cancelled","",IF($E135="","",$E135))))</f>
        <v>8</v>
      </c>
      <c r="I135" s="42">
        <f>IF($G135="Walkover_Home",Settings!$B$11,IF($G135="Walkover_Away",Settings!$B$10,IF($G135="Cancelled","",IF($F135="","",$F135))))</f>
        <v>4</v>
      </c>
      <c r="J135" s="42">
        <f>IF($L135=0,"",IF($G135="Walkover_Home",Settings!$B$7,IF($G135="Walkover_Away",Settings!$B$8,IF($H135&gt;$I135,Settings!$B$3,IF($H135&lt;$I135,Settings!$B$4,Settings!$B$5)))))</f>
        <v>3</v>
      </c>
      <c r="K135" s="42">
        <f>IF($L135=0,"",IF($G135="Walkover_Home",Settings!$B$8,IF($G135="Walkover_Away",Settings!$B$7,IF($I135&gt;$H135,Settings!$B$3,IF($I135&lt;$H135,Settings!$B$4,Settings!$B$5)))))</f>
        <v>0</v>
      </c>
      <c r="L135" s="42">
        <f t="shared" si="2"/>
        <v>1</v>
      </c>
      <c r="M135" s="42">
        <f t="shared" si="3"/>
        <v>1</v>
      </c>
      <c r="N135" s="42">
        <f t="shared" si="4"/>
        <v>0</v>
      </c>
      <c r="O135" s="42">
        <f t="shared" si="5"/>
        <v>0</v>
      </c>
      <c r="P135" s="42">
        <f t="shared" si="6"/>
        <v>0</v>
      </c>
      <c r="Q135" s="42">
        <f t="shared" si="7"/>
        <v>0</v>
      </c>
      <c r="R135" s="42">
        <f t="shared" si="8"/>
        <v>1</v>
      </c>
      <c r="S135" s="43" t="str">
        <f t="shared" si="9"/>
        <v>GURU</v>
      </c>
      <c r="T135" s="41"/>
      <c r="U135" s="28">
        <f t="shared" si="10"/>
        <v>4</v>
      </c>
      <c r="V135" s="28">
        <f t="shared" ref="V135:W135" si="143">IF($L135=0,"",$I135-$H135)</f>
        <v>-4</v>
      </c>
      <c r="W135" s="28">
        <f t="shared" si="143"/>
        <v>-4</v>
      </c>
      <c r="X135" s="28">
        <f t="shared" si="12"/>
        <v>4</v>
      </c>
      <c r="Y135" s="28"/>
      <c r="Z135" s="28"/>
    </row>
    <row r="136" ht="15.75" customHeight="1">
      <c r="A136" s="38">
        <v>134.0</v>
      </c>
      <c r="B136" s="39">
        <v>46075.0</v>
      </c>
      <c r="C136" s="40" t="s">
        <v>103</v>
      </c>
      <c r="D136" s="40" t="s">
        <v>99</v>
      </c>
      <c r="E136" s="40">
        <v>1.0</v>
      </c>
      <c r="F136" s="40">
        <v>7.0</v>
      </c>
      <c r="G136" s="41" t="s">
        <v>5</v>
      </c>
      <c r="H136" s="42">
        <f>IF($G136="Walkover_Home",Settings!$B$10,IF($G136="Walkover_Away",Settings!$B$11,IF($G136="Cancelled","",IF($E136="","",$E136))))</f>
        <v>1</v>
      </c>
      <c r="I136" s="42">
        <f>IF($G136="Walkover_Home",Settings!$B$11,IF($G136="Walkover_Away",Settings!$B$10,IF($G136="Cancelled","",IF($F136="","",$F136))))</f>
        <v>7</v>
      </c>
      <c r="J136" s="42">
        <f>IF($L136=0,"",IF($G136="Walkover_Home",Settings!$B$7,IF($G136="Walkover_Away",Settings!$B$8,IF($H136&gt;$I136,Settings!$B$3,IF($H136&lt;$I136,Settings!$B$4,Settings!$B$5)))))</f>
        <v>0</v>
      </c>
      <c r="K136" s="42">
        <f>IF($L136=0,"",IF($G136="Walkover_Home",Settings!$B$8,IF($G136="Walkover_Away",Settings!$B$7,IF($I136&gt;$H136,Settings!$B$3,IF($I136&lt;$H136,Settings!$B$4,Settings!$B$5)))))</f>
        <v>3</v>
      </c>
      <c r="L136" s="42">
        <f t="shared" si="2"/>
        <v>1</v>
      </c>
      <c r="M136" s="42">
        <f t="shared" si="3"/>
        <v>0</v>
      </c>
      <c r="N136" s="42">
        <f t="shared" si="4"/>
        <v>0</v>
      </c>
      <c r="O136" s="42">
        <f t="shared" si="5"/>
        <v>1</v>
      </c>
      <c r="P136" s="42">
        <f t="shared" si="6"/>
        <v>1</v>
      </c>
      <c r="Q136" s="42">
        <f t="shared" si="7"/>
        <v>0</v>
      </c>
      <c r="R136" s="42">
        <f t="shared" si="8"/>
        <v>0</v>
      </c>
      <c r="S136" s="43" t="str">
        <f t="shared" si="9"/>
        <v>KAYKAY</v>
      </c>
      <c r="T136" s="41"/>
      <c r="U136" s="28">
        <f t="shared" si="10"/>
        <v>-6</v>
      </c>
      <c r="V136" s="28">
        <f t="shared" ref="V136:W136" si="144">IF($L136=0,"",$I136-$H136)</f>
        <v>6</v>
      </c>
      <c r="W136" s="28">
        <f t="shared" si="144"/>
        <v>6</v>
      </c>
      <c r="X136" s="28">
        <f t="shared" si="12"/>
        <v>-6</v>
      </c>
      <c r="Y136" s="28"/>
      <c r="Z136" s="28"/>
    </row>
    <row r="137" ht="15.75" customHeight="1">
      <c r="A137" s="38">
        <v>135.0</v>
      </c>
      <c r="B137" s="39">
        <v>46075.0</v>
      </c>
      <c r="C137" s="40" t="s">
        <v>114</v>
      </c>
      <c r="D137" s="40" t="s">
        <v>108</v>
      </c>
      <c r="E137" s="40">
        <v>5.0</v>
      </c>
      <c r="F137" s="40">
        <v>5.0</v>
      </c>
      <c r="G137" s="41" t="s">
        <v>5</v>
      </c>
      <c r="H137" s="42">
        <f>IF($G137="Walkover_Home",Settings!$B$10,IF($G137="Walkover_Away",Settings!$B$11,IF($G137="Cancelled","",IF($E137="","",$E137))))</f>
        <v>5</v>
      </c>
      <c r="I137" s="42">
        <f>IF($G137="Walkover_Home",Settings!$B$11,IF($G137="Walkover_Away",Settings!$B$10,IF($G137="Cancelled","",IF($F137="","",$F137))))</f>
        <v>5</v>
      </c>
      <c r="J137" s="42">
        <f>IF($L137=0,"",IF($G137="Walkover_Home",Settings!$B$7,IF($G137="Walkover_Away",Settings!$B$8,IF($H137&gt;$I137,Settings!$B$3,IF($H137&lt;$I137,Settings!$B$4,Settings!$B$5)))))</f>
        <v>1</v>
      </c>
      <c r="K137" s="42">
        <f>IF($L137=0,"",IF($G137="Walkover_Home",Settings!$B$8,IF($G137="Walkover_Away",Settings!$B$7,IF($I137&gt;$H137,Settings!$B$3,IF($I137&lt;$H137,Settings!$B$4,Settings!$B$5)))))</f>
        <v>1</v>
      </c>
      <c r="L137" s="42">
        <f t="shared" si="2"/>
        <v>1</v>
      </c>
      <c r="M137" s="42">
        <f t="shared" si="3"/>
        <v>0</v>
      </c>
      <c r="N137" s="42">
        <f t="shared" si="4"/>
        <v>1</v>
      </c>
      <c r="O137" s="42">
        <f t="shared" si="5"/>
        <v>0</v>
      </c>
      <c r="P137" s="42">
        <f t="shared" si="6"/>
        <v>0</v>
      </c>
      <c r="Q137" s="42">
        <f t="shared" si="7"/>
        <v>1</v>
      </c>
      <c r="R137" s="42">
        <f t="shared" si="8"/>
        <v>0</v>
      </c>
      <c r="S137" s="43" t="str">
        <f t="shared" si="9"/>
        <v>Draw</v>
      </c>
      <c r="T137" s="41"/>
      <c r="U137" s="28">
        <f t="shared" si="10"/>
        <v>0</v>
      </c>
      <c r="V137" s="28">
        <f t="shared" ref="V137:W137" si="145">IF($L137=0,"",$I137-$H137)</f>
        <v>0</v>
      </c>
      <c r="W137" s="28">
        <f t="shared" si="145"/>
        <v>0</v>
      </c>
      <c r="X137" s="28">
        <f t="shared" si="12"/>
        <v>0</v>
      </c>
      <c r="Y137" s="28"/>
      <c r="Z137" s="28"/>
    </row>
    <row r="138" ht="15.75" customHeight="1">
      <c r="A138" s="38">
        <v>136.0</v>
      </c>
      <c r="B138" s="39">
        <v>46075.0</v>
      </c>
      <c r="C138" s="40" t="s">
        <v>112</v>
      </c>
      <c r="D138" s="40" t="s">
        <v>100</v>
      </c>
      <c r="E138" s="40">
        <v>0.0</v>
      </c>
      <c r="F138" s="40">
        <v>3.0</v>
      </c>
      <c r="G138" s="41" t="s">
        <v>5</v>
      </c>
      <c r="H138" s="42">
        <f>IF($G138="Walkover_Home",Settings!$B$10,IF($G138="Walkover_Away",Settings!$B$11,IF($G138="Cancelled","",IF($E138="","",$E138))))</f>
        <v>0</v>
      </c>
      <c r="I138" s="42">
        <f>IF($G138="Walkover_Home",Settings!$B$11,IF($G138="Walkover_Away",Settings!$B$10,IF($G138="Cancelled","",IF($F138="","",$F138))))</f>
        <v>3</v>
      </c>
      <c r="J138" s="42">
        <f>IF($L138=0,"",IF($G138="Walkover_Home",Settings!$B$7,IF($G138="Walkover_Away",Settings!$B$8,IF($H138&gt;$I138,Settings!$B$3,IF($H138&lt;$I138,Settings!$B$4,Settings!$B$5)))))</f>
        <v>0</v>
      </c>
      <c r="K138" s="42">
        <f>IF($L138=0,"",IF($G138="Walkover_Home",Settings!$B$8,IF($G138="Walkover_Away",Settings!$B$7,IF($I138&gt;$H138,Settings!$B$3,IF($I138&lt;$H138,Settings!$B$4,Settings!$B$5)))))</f>
        <v>3</v>
      </c>
      <c r="L138" s="42">
        <f t="shared" si="2"/>
        <v>1</v>
      </c>
      <c r="M138" s="42">
        <f t="shared" si="3"/>
        <v>0</v>
      </c>
      <c r="N138" s="42">
        <f t="shared" si="4"/>
        <v>0</v>
      </c>
      <c r="O138" s="42">
        <f t="shared" si="5"/>
        <v>1</v>
      </c>
      <c r="P138" s="42">
        <f t="shared" si="6"/>
        <v>1</v>
      </c>
      <c r="Q138" s="42">
        <f t="shared" si="7"/>
        <v>0</v>
      </c>
      <c r="R138" s="42">
        <f t="shared" si="8"/>
        <v>0</v>
      </c>
      <c r="S138" s="43" t="str">
        <f t="shared" si="9"/>
        <v>TACTICAL</v>
      </c>
      <c r="T138" s="41"/>
      <c r="U138" s="28">
        <f t="shared" si="10"/>
        <v>-3</v>
      </c>
      <c r="V138" s="28">
        <f t="shared" ref="V138:W138" si="146">IF($L138=0,"",$I138-$H138)</f>
        <v>3</v>
      </c>
      <c r="W138" s="28">
        <f t="shared" si="146"/>
        <v>3</v>
      </c>
      <c r="X138" s="28">
        <f t="shared" si="12"/>
        <v>-3</v>
      </c>
      <c r="Y138" s="28"/>
      <c r="Z138" s="28"/>
    </row>
    <row r="139" ht="15.75" customHeight="1">
      <c r="A139" s="38">
        <v>137.0</v>
      </c>
      <c r="B139" s="39">
        <v>46081.0</v>
      </c>
      <c r="C139" s="40" t="s">
        <v>113</v>
      </c>
      <c r="D139" s="40" t="s">
        <v>106</v>
      </c>
      <c r="E139" s="40">
        <v>6.0</v>
      </c>
      <c r="F139" s="40">
        <v>5.0</v>
      </c>
      <c r="G139" s="41" t="s">
        <v>5</v>
      </c>
      <c r="H139" s="42">
        <f>IF($G139="Walkover_Home",Settings!$B$10,IF($G139="Walkover_Away",Settings!$B$11,IF($G139="Cancelled","",IF($E139="","",$E139))))</f>
        <v>6</v>
      </c>
      <c r="I139" s="42">
        <f>IF($G139="Walkover_Home",Settings!$B$11,IF($G139="Walkover_Away",Settings!$B$10,IF($G139="Cancelled","",IF($F139="","",$F139))))</f>
        <v>5</v>
      </c>
      <c r="J139" s="42">
        <f>IF($L139=0,"",IF($G139="Walkover_Home",Settings!$B$7,IF($G139="Walkover_Away",Settings!$B$8,IF($H139&gt;$I139,Settings!$B$3,IF($H139&lt;$I139,Settings!$B$4,Settings!$B$5)))))</f>
        <v>3</v>
      </c>
      <c r="K139" s="42">
        <f>IF($L139=0,"",IF($G139="Walkover_Home",Settings!$B$8,IF($G139="Walkover_Away",Settings!$B$7,IF($I139&gt;$H139,Settings!$B$3,IF($I139&lt;$H139,Settings!$B$4,Settings!$B$5)))))</f>
        <v>0</v>
      </c>
      <c r="L139" s="42">
        <f t="shared" si="2"/>
        <v>1</v>
      </c>
      <c r="M139" s="42">
        <f t="shared" si="3"/>
        <v>1</v>
      </c>
      <c r="N139" s="42">
        <f t="shared" si="4"/>
        <v>0</v>
      </c>
      <c r="O139" s="42">
        <f t="shared" si="5"/>
        <v>0</v>
      </c>
      <c r="P139" s="42">
        <f t="shared" si="6"/>
        <v>0</v>
      </c>
      <c r="Q139" s="42">
        <f t="shared" si="7"/>
        <v>0</v>
      </c>
      <c r="R139" s="42">
        <f t="shared" si="8"/>
        <v>1</v>
      </c>
      <c r="S139" s="43" t="str">
        <f t="shared" si="9"/>
        <v>BRIGHT</v>
      </c>
      <c r="T139" s="41"/>
      <c r="U139" s="28">
        <f t="shared" si="10"/>
        <v>1</v>
      </c>
      <c r="V139" s="28">
        <f t="shared" ref="V139:W139" si="147">IF($L139=0,"",$I139-$H139)</f>
        <v>-1</v>
      </c>
      <c r="W139" s="28">
        <f t="shared" si="147"/>
        <v>-1</v>
      </c>
      <c r="X139" s="28">
        <f t="shared" si="12"/>
        <v>1</v>
      </c>
      <c r="Y139" s="28"/>
      <c r="Z139" s="28"/>
    </row>
    <row r="140" ht="15.75" customHeight="1">
      <c r="A140" s="38">
        <v>138.0</v>
      </c>
      <c r="B140" s="39">
        <v>46081.0</v>
      </c>
      <c r="C140" s="40" t="s">
        <v>114</v>
      </c>
      <c r="D140" s="40" t="s">
        <v>107</v>
      </c>
      <c r="E140" s="41"/>
      <c r="F140" s="41"/>
      <c r="G140" s="40" t="s">
        <v>89</v>
      </c>
      <c r="H140" s="42">
        <f>IF($G140="Walkover_Home",Settings!$B$10,IF($G140="Walkover_Away",Settings!$B$11,IF($G140="Cancelled","",IF($E140="","",$E140))))</f>
        <v>3</v>
      </c>
      <c r="I140" s="42">
        <f>IF($G140="Walkover_Home",Settings!$B$11,IF($G140="Walkover_Away",Settings!$B$10,IF($G140="Cancelled","",IF($F140="","",$F140))))</f>
        <v>0</v>
      </c>
      <c r="J140" s="42">
        <f>IF($L140=0,"",IF($G140="Walkover_Home",Settings!$B$7,IF($G140="Walkover_Away",Settings!$B$8,IF($H140&gt;$I140,Settings!$B$3,IF($H140&lt;$I140,Settings!$B$4,Settings!$B$5)))))</f>
        <v>3</v>
      </c>
      <c r="K140" s="42">
        <f>IF($L140=0,"",IF($G140="Walkover_Home",Settings!$B$8,IF($G140="Walkover_Away",Settings!$B$7,IF($I140&gt;$H140,Settings!$B$3,IF($I140&lt;$H140,Settings!$B$4,Settings!$B$5)))))</f>
        <v>0</v>
      </c>
      <c r="L140" s="42">
        <f t="shared" si="2"/>
        <v>1</v>
      </c>
      <c r="M140" s="42">
        <f t="shared" si="3"/>
        <v>1</v>
      </c>
      <c r="N140" s="42">
        <f t="shared" si="4"/>
        <v>0</v>
      </c>
      <c r="O140" s="42">
        <f t="shared" si="5"/>
        <v>0</v>
      </c>
      <c r="P140" s="42">
        <f t="shared" si="6"/>
        <v>0</v>
      </c>
      <c r="Q140" s="42">
        <f t="shared" si="7"/>
        <v>0</v>
      </c>
      <c r="R140" s="42">
        <f t="shared" si="8"/>
        <v>1</v>
      </c>
      <c r="S140" s="43" t="str">
        <f t="shared" si="9"/>
        <v>KINGNONEX</v>
      </c>
      <c r="T140" s="41"/>
      <c r="U140" s="28">
        <f t="shared" si="10"/>
        <v>3</v>
      </c>
      <c r="V140" s="28">
        <f t="shared" ref="V140:W140" si="148">IF($L140=0,"",$I140-$H140)</f>
        <v>-3</v>
      </c>
      <c r="W140" s="28">
        <f t="shared" si="148"/>
        <v>-3</v>
      </c>
      <c r="X140" s="28">
        <f t="shared" si="12"/>
        <v>3</v>
      </c>
      <c r="Y140" s="28"/>
      <c r="Z140" s="28"/>
    </row>
    <row r="141" ht="15.75" customHeight="1">
      <c r="A141" s="38">
        <v>139.0</v>
      </c>
      <c r="B141" s="39">
        <v>46081.0</v>
      </c>
      <c r="C141" s="40" t="s">
        <v>95</v>
      </c>
      <c r="D141" s="40" t="s">
        <v>109</v>
      </c>
      <c r="E141" s="40">
        <v>3.0</v>
      </c>
      <c r="F141" s="40">
        <v>7.0</v>
      </c>
      <c r="G141" s="41" t="s">
        <v>5</v>
      </c>
      <c r="H141" s="42">
        <f>IF($G141="Walkover_Home",Settings!$B$10,IF($G141="Walkover_Away",Settings!$B$11,IF($G141="Cancelled","",IF($E141="","",$E141))))</f>
        <v>3</v>
      </c>
      <c r="I141" s="42">
        <f>IF($G141="Walkover_Home",Settings!$B$11,IF($G141="Walkover_Away",Settings!$B$10,IF($G141="Cancelled","",IF($F141="","",$F141))))</f>
        <v>7</v>
      </c>
      <c r="J141" s="42">
        <f>IF($L141=0,"",IF($G141="Walkover_Home",Settings!$B$7,IF($G141="Walkover_Away",Settings!$B$8,IF($H141&gt;$I141,Settings!$B$3,IF($H141&lt;$I141,Settings!$B$4,Settings!$B$5)))))</f>
        <v>0</v>
      </c>
      <c r="K141" s="42">
        <f>IF($L141=0,"",IF($G141="Walkover_Home",Settings!$B$8,IF($G141="Walkover_Away",Settings!$B$7,IF($I141&gt;$H141,Settings!$B$3,IF($I141&lt;$H141,Settings!$B$4,Settings!$B$5)))))</f>
        <v>3</v>
      </c>
      <c r="L141" s="42">
        <f t="shared" si="2"/>
        <v>1</v>
      </c>
      <c r="M141" s="42">
        <f t="shared" si="3"/>
        <v>0</v>
      </c>
      <c r="N141" s="42">
        <f t="shared" si="4"/>
        <v>0</v>
      </c>
      <c r="O141" s="42">
        <f t="shared" si="5"/>
        <v>1</v>
      </c>
      <c r="P141" s="42">
        <f t="shared" si="6"/>
        <v>1</v>
      </c>
      <c r="Q141" s="42">
        <f t="shared" si="7"/>
        <v>0</v>
      </c>
      <c r="R141" s="42">
        <f t="shared" si="8"/>
        <v>0</v>
      </c>
      <c r="S141" s="43" t="str">
        <f t="shared" si="9"/>
        <v>DADABOI</v>
      </c>
      <c r="T141" s="41"/>
      <c r="U141" s="28">
        <f t="shared" si="10"/>
        <v>-4</v>
      </c>
      <c r="V141" s="28">
        <f t="shared" ref="V141:W141" si="149">IF($L141=0,"",$I141-$H141)</f>
        <v>4</v>
      </c>
      <c r="W141" s="28">
        <f t="shared" si="149"/>
        <v>4</v>
      </c>
      <c r="X141" s="28">
        <f t="shared" si="12"/>
        <v>-4</v>
      </c>
      <c r="Y141" s="28"/>
      <c r="Z141" s="28"/>
    </row>
    <row r="142" ht="15.75" customHeight="1">
      <c r="A142" s="38">
        <v>140.0</v>
      </c>
      <c r="B142" s="39">
        <v>46081.0</v>
      </c>
      <c r="C142" s="40" t="s">
        <v>108</v>
      </c>
      <c r="D142" s="40" t="s">
        <v>112</v>
      </c>
      <c r="E142" s="41"/>
      <c r="F142" s="41"/>
      <c r="G142" s="40" t="s">
        <v>89</v>
      </c>
      <c r="H142" s="42">
        <f>IF($G142="Walkover_Home",Settings!$B$10,IF($G142="Walkover_Away",Settings!$B$11,IF($G142="Cancelled","",IF($E142="","",$E142))))</f>
        <v>3</v>
      </c>
      <c r="I142" s="42">
        <f>IF($G142="Walkover_Home",Settings!$B$11,IF($G142="Walkover_Away",Settings!$B$10,IF($G142="Cancelled","",IF($F142="","",$F142))))</f>
        <v>0</v>
      </c>
      <c r="J142" s="42">
        <f>IF($L142=0,"",IF($G142="Walkover_Home",Settings!$B$7,IF($G142="Walkover_Away",Settings!$B$8,IF($H142&gt;$I142,Settings!$B$3,IF($H142&lt;$I142,Settings!$B$4,Settings!$B$5)))))</f>
        <v>3</v>
      </c>
      <c r="K142" s="42">
        <f>IF($L142=0,"",IF($G142="Walkover_Home",Settings!$B$8,IF($G142="Walkover_Away",Settings!$B$7,IF($I142&gt;$H142,Settings!$B$3,IF($I142&lt;$H142,Settings!$B$4,Settings!$B$5)))))</f>
        <v>0</v>
      </c>
      <c r="L142" s="42">
        <f t="shared" si="2"/>
        <v>1</v>
      </c>
      <c r="M142" s="42">
        <f t="shared" si="3"/>
        <v>1</v>
      </c>
      <c r="N142" s="42">
        <f t="shared" si="4"/>
        <v>0</v>
      </c>
      <c r="O142" s="42">
        <f t="shared" si="5"/>
        <v>0</v>
      </c>
      <c r="P142" s="42">
        <f t="shared" si="6"/>
        <v>0</v>
      </c>
      <c r="Q142" s="42">
        <f t="shared" si="7"/>
        <v>0</v>
      </c>
      <c r="R142" s="42">
        <f t="shared" si="8"/>
        <v>1</v>
      </c>
      <c r="S142" s="43" t="str">
        <f t="shared" si="9"/>
        <v>GAMEWITHJOSH</v>
      </c>
      <c r="T142" s="41"/>
      <c r="U142" s="28">
        <f t="shared" si="10"/>
        <v>3</v>
      </c>
      <c r="V142" s="28">
        <f t="shared" ref="V142:W142" si="150">IF($L142=0,"",$I142-$H142)</f>
        <v>-3</v>
      </c>
      <c r="W142" s="28">
        <f t="shared" si="150"/>
        <v>-3</v>
      </c>
      <c r="X142" s="28">
        <f t="shared" si="12"/>
        <v>3</v>
      </c>
      <c r="Y142" s="28"/>
      <c r="Z142" s="28"/>
    </row>
    <row r="143" ht="15.75" customHeight="1">
      <c r="A143" s="38">
        <v>141.0</v>
      </c>
      <c r="B143" s="39">
        <v>46081.0</v>
      </c>
      <c r="C143" s="40" t="s">
        <v>105</v>
      </c>
      <c r="D143" s="40" t="s">
        <v>111</v>
      </c>
      <c r="E143" s="40">
        <v>6.0</v>
      </c>
      <c r="F143" s="40">
        <v>2.0</v>
      </c>
      <c r="G143" s="41" t="s">
        <v>5</v>
      </c>
      <c r="H143" s="42">
        <f>IF($G143="Walkover_Home",Settings!$B$10,IF($G143="Walkover_Away",Settings!$B$11,IF($G143="Cancelled","",IF($E143="","",$E143))))</f>
        <v>6</v>
      </c>
      <c r="I143" s="42">
        <f>IF($G143="Walkover_Home",Settings!$B$11,IF($G143="Walkover_Away",Settings!$B$10,IF($G143="Cancelled","",IF($F143="","",$F143))))</f>
        <v>2</v>
      </c>
      <c r="J143" s="42">
        <f>IF($L143=0,"",IF($G143="Walkover_Home",Settings!$B$7,IF($G143="Walkover_Away",Settings!$B$8,IF($H143&gt;$I143,Settings!$B$3,IF($H143&lt;$I143,Settings!$B$4,Settings!$B$5)))))</f>
        <v>3</v>
      </c>
      <c r="K143" s="42">
        <f>IF($L143=0,"",IF($G143="Walkover_Home",Settings!$B$8,IF($G143="Walkover_Away",Settings!$B$7,IF($I143&gt;$H143,Settings!$B$3,IF($I143&lt;$H143,Settings!$B$4,Settings!$B$5)))))</f>
        <v>0</v>
      </c>
      <c r="L143" s="42">
        <f t="shared" si="2"/>
        <v>1</v>
      </c>
      <c r="M143" s="42">
        <f t="shared" si="3"/>
        <v>1</v>
      </c>
      <c r="N143" s="42">
        <f t="shared" si="4"/>
        <v>0</v>
      </c>
      <c r="O143" s="42">
        <f t="shared" si="5"/>
        <v>0</v>
      </c>
      <c r="P143" s="42">
        <f t="shared" si="6"/>
        <v>0</v>
      </c>
      <c r="Q143" s="42">
        <f t="shared" si="7"/>
        <v>0</v>
      </c>
      <c r="R143" s="42">
        <f t="shared" si="8"/>
        <v>1</v>
      </c>
      <c r="S143" s="43" t="str">
        <f t="shared" si="9"/>
        <v>RHYMEZ</v>
      </c>
      <c r="T143" s="41"/>
      <c r="U143" s="28">
        <f t="shared" si="10"/>
        <v>4</v>
      </c>
      <c r="V143" s="28">
        <f t="shared" ref="V143:W143" si="151">IF($L143=0,"",$I143-$H143)</f>
        <v>-4</v>
      </c>
      <c r="W143" s="28">
        <f t="shared" si="151"/>
        <v>-4</v>
      </c>
      <c r="X143" s="28">
        <f t="shared" si="12"/>
        <v>4</v>
      </c>
      <c r="Y143" s="28"/>
      <c r="Z143" s="28"/>
    </row>
    <row r="144" ht="15.75" customHeight="1">
      <c r="A144" s="38">
        <v>142.0</v>
      </c>
      <c r="B144" s="39">
        <v>46081.0</v>
      </c>
      <c r="C144" s="40" t="s">
        <v>110</v>
      </c>
      <c r="D144" s="40" t="s">
        <v>97</v>
      </c>
      <c r="E144" s="41"/>
      <c r="F144" s="41"/>
      <c r="G144" s="40" t="s">
        <v>89</v>
      </c>
      <c r="H144" s="42">
        <f>IF($G144="Walkover_Home",Settings!$B$10,IF($G144="Walkover_Away",Settings!$B$11,IF($G144="Cancelled","",IF($E144="","",$E144))))</f>
        <v>3</v>
      </c>
      <c r="I144" s="42">
        <f>IF($G144="Walkover_Home",Settings!$B$11,IF($G144="Walkover_Away",Settings!$B$10,IF($G144="Cancelled","",IF($F144="","",$F144))))</f>
        <v>0</v>
      </c>
      <c r="J144" s="42">
        <f>IF($L144=0,"",IF($G144="Walkover_Home",Settings!$B$7,IF($G144="Walkover_Away",Settings!$B$8,IF($H144&gt;$I144,Settings!$B$3,IF($H144&lt;$I144,Settings!$B$4,Settings!$B$5)))))</f>
        <v>3</v>
      </c>
      <c r="K144" s="42">
        <f>IF($L144=0,"",IF($G144="Walkover_Home",Settings!$B$8,IF($G144="Walkover_Away",Settings!$B$7,IF($I144&gt;$H144,Settings!$B$3,IF($I144&lt;$H144,Settings!$B$4,Settings!$B$5)))))</f>
        <v>0</v>
      </c>
      <c r="L144" s="42">
        <f t="shared" si="2"/>
        <v>1</v>
      </c>
      <c r="M144" s="42">
        <f t="shared" si="3"/>
        <v>1</v>
      </c>
      <c r="N144" s="42">
        <f t="shared" si="4"/>
        <v>0</v>
      </c>
      <c r="O144" s="42">
        <f t="shared" si="5"/>
        <v>0</v>
      </c>
      <c r="P144" s="42">
        <f t="shared" si="6"/>
        <v>0</v>
      </c>
      <c r="Q144" s="42">
        <f t="shared" si="7"/>
        <v>0</v>
      </c>
      <c r="R144" s="42">
        <f t="shared" si="8"/>
        <v>1</v>
      </c>
      <c r="S144" s="43" t="str">
        <f t="shared" si="9"/>
        <v>SON OF GOD</v>
      </c>
      <c r="T144" s="41"/>
      <c r="U144" s="28">
        <f t="shared" si="10"/>
        <v>3</v>
      </c>
      <c r="V144" s="28">
        <f t="shared" ref="V144:W144" si="152">IF($L144=0,"",$I144-$H144)</f>
        <v>-3</v>
      </c>
      <c r="W144" s="28">
        <f t="shared" si="152"/>
        <v>-3</v>
      </c>
      <c r="X144" s="28">
        <f t="shared" si="12"/>
        <v>3</v>
      </c>
      <c r="Y144" s="28"/>
      <c r="Z144" s="28"/>
    </row>
    <row r="145" ht="15.75" customHeight="1">
      <c r="A145" s="38">
        <v>143.0</v>
      </c>
      <c r="B145" s="39">
        <v>46081.0</v>
      </c>
      <c r="C145" s="40" t="s">
        <v>96</v>
      </c>
      <c r="D145" s="40" t="s">
        <v>101</v>
      </c>
      <c r="E145" s="40">
        <v>4.0</v>
      </c>
      <c r="F145" s="40">
        <v>4.0</v>
      </c>
      <c r="G145" s="41" t="s">
        <v>5</v>
      </c>
      <c r="H145" s="42">
        <f>IF($G145="Walkover_Home",Settings!$B$10,IF($G145="Walkover_Away",Settings!$B$11,IF($G145="Cancelled","",IF($E145="","",$E145))))</f>
        <v>4</v>
      </c>
      <c r="I145" s="42">
        <f>IF($G145="Walkover_Home",Settings!$B$11,IF($G145="Walkover_Away",Settings!$B$10,IF($G145="Cancelled","",IF($F145="","",$F145))))</f>
        <v>4</v>
      </c>
      <c r="J145" s="42">
        <f>IF($L145=0,"",IF($G145="Walkover_Home",Settings!$B$7,IF($G145="Walkover_Away",Settings!$B$8,IF($H145&gt;$I145,Settings!$B$3,IF($H145&lt;$I145,Settings!$B$4,Settings!$B$5)))))</f>
        <v>1</v>
      </c>
      <c r="K145" s="42">
        <f>IF($L145=0,"",IF($G145="Walkover_Home",Settings!$B$8,IF($G145="Walkover_Away",Settings!$B$7,IF($I145&gt;$H145,Settings!$B$3,IF($I145&lt;$H145,Settings!$B$4,Settings!$B$5)))))</f>
        <v>1</v>
      </c>
      <c r="L145" s="42">
        <f t="shared" si="2"/>
        <v>1</v>
      </c>
      <c r="M145" s="42">
        <f t="shared" si="3"/>
        <v>0</v>
      </c>
      <c r="N145" s="42">
        <f t="shared" si="4"/>
        <v>1</v>
      </c>
      <c r="O145" s="42">
        <f t="shared" si="5"/>
        <v>0</v>
      </c>
      <c r="P145" s="42">
        <f t="shared" si="6"/>
        <v>0</v>
      </c>
      <c r="Q145" s="42">
        <f t="shared" si="7"/>
        <v>1</v>
      </c>
      <c r="R145" s="42">
        <f t="shared" si="8"/>
        <v>0</v>
      </c>
      <c r="S145" s="43" t="str">
        <f t="shared" si="9"/>
        <v>Draw</v>
      </c>
      <c r="T145" s="41"/>
      <c r="U145" s="28">
        <f t="shared" si="10"/>
        <v>0</v>
      </c>
      <c r="V145" s="28">
        <f t="shared" ref="V145:W145" si="153">IF($L145=0,"",$I145-$H145)</f>
        <v>0</v>
      </c>
      <c r="W145" s="28">
        <f t="shared" si="153"/>
        <v>0</v>
      </c>
      <c r="X145" s="28">
        <f t="shared" si="12"/>
        <v>0</v>
      </c>
      <c r="Y145" s="28"/>
      <c r="Z145" s="28"/>
    </row>
    <row r="146" ht="15.75" customHeight="1">
      <c r="A146" s="38">
        <v>144.0</v>
      </c>
      <c r="B146" s="39">
        <v>46081.0</v>
      </c>
      <c r="C146" s="40" t="s">
        <v>102</v>
      </c>
      <c r="D146" s="40" t="s">
        <v>103</v>
      </c>
      <c r="E146" s="40">
        <v>5.0</v>
      </c>
      <c r="F146" s="40">
        <v>3.0</v>
      </c>
      <c r="G146" s="41" t="s">
        <v>5</v>
      </c>
      <c r="H146" s="42">
        <f>IF($G146="Walkover_Home",Settings!$B$10,IF($G146="Walkover_Away",Settings!$B$11,IF($G146="Cancelled","",IF($E146="","",$E146))))</f>
        <v>5</v>
      </c>
      <c r="I146" s="42">
        <f>IF($G146="Walkover_Home",Settings!$B$11,IF($G146="Walkover_Away",Settings!$B$10,IF($G146="Cancelled","",IF($F146="","",$F146))))</f>
        <v>3</v>
      </c>
      <c r="J146" s="42">
        <f>IF($L146=0,"",IF($G146="Walkover_Home",Settings!$B$7,IF($G146="Walkover_Away",Settings!$B$8,IF($H146&gt;$I146,Settings!$B$3,IF($H146&lt;$I146,Settings!$B$4,Settings!$B$5)))))</f>
        <v>3</v>
      </c>
      <c r="K146" s="42">
        <f>IF($L146=0,"",IF($G146="Walkover_Home",Settings!$B$8,IF($G146="Walkover_Away",Settings!$B$7,IF($I146&gt;$H146,Settings!$B$3,IF($I146&lt;$H146,Settings!$B$4,Settings!$B$5)))))</f>
        <v>0</v>
      </c>
      <c r="L146" s="42">
        <f t="shared" si="2"/>
        <v>1</v>
      </c>
      <c r="M146" s="42">
        <f t="shared" si="3"/>
        <v>1</v>
      </c>
      <c r="N146" s="42">
        <f t="shared" si="4"/>
        <v>0</v>
      </c>
      <c r="O146" s="42">
        <f t="shared" si="5"/>
        <v>0</v>
      </c>
      <c r="P146" s="42">
        <f t="shared" si="6"/>
        <v>0</v>
      </c>
      <c r="Q146" s="42">
        <f t="shared" si="7"/>
        <v>0</v>
      </c>
      <c r="R146" s="42">
        <f t="shared" si="8"/>
        <v>1</v>
      </c>
      <c r="S146" s="43" t="str">
        <f t="shared" si="9"/>
        <v>KHALEEDOY</v>
      </c>
      <c r="T146" s="41"/>
      <c r="U146" s="28">
        <f t="shared" si="10"/>
        <v>2</v>
      </c>
      <c r="V146" s="28">
        <f t="shared" ref="V146:W146" si="154">IF($L146=0,"",$I146-$H146)</f>
        <v>-2</v>
      </c>
      <c r="W146" s="28">
        <f t="shared" si="154"/>
        <v>-2</v>
      </c>
      <c r="X146" s="28">
        <f t="shared" si="12"/>
        <v>2</v>
      </c>
      <c r="Y146" s="28"/>
      <c r="Z146" s="28"/>
    </row>
    <row r="147" ht="15.75" customHeight="1">
      <c r="A147" s="38">
        <v>145.0</v>
      </c>
      <c r="B147" s="39">
        <v>46081.0</v>
      </c>
      <c r="C147" s="40" t="s">
        <v>99</v>
      </c>
      <c r="D147" s="40" t="s">
        <v>104</v>
      </c>
      <c r="E147" s="40">
        <v>3.0</v>
      </c>
      <c r="F147" s="40">
        <v>8.0</v>
      </c>
      <c r="G147" s="41" t="s">
        <v>5</v>
      </c>
      <c r="H147" s="42">
        <f>IF($G147="Walkover_Home",Settings!$B$10,IF($G147="Walkover_Away",Settings!$B$11,IF($G147="Cancelled","",IF($E147="","",$E147))))</f>
        <v>3</v>
      </c>
      <c r="I147" s="42">
        <f>IF($G147="Walkover_Home",Settings!$B$11,IF($G147="Walkover_Away",Settings!$B$10,IF($G147="Cancelled","",IF($F147="","",$F147))))</f>
        <v>8</v>
      </c>
      <c r="J147" s="42">
        <f>IF($L147=0,"",IF($G147="Walkover_Home",Settings!$B$7,IF($G147="Walkover_Away",Settings!$B$8,IF($H147&gt;$I147,Settings!$B$3,IF($H147&lt;$I147,Settings!$B$4,Settings!$B$5)))))</f>
        <v>0</v>
      </c>
      <c r="K147" s="42">
        <f>IF($L147=0,"",IF($G147="Walkover_Home",Settings!$B$8,IF($G147="Walkover_Away",Settings!$B$7,IF($I147&gt;$H147,Settings!$B$3,IF($I147&lt;$H147,Settings!$B$4,Settings!$B$5)))))</f>
        <v>3</v>
      </c>
      <c r="L147" s="42">
        <f t="shared" si="2"/>
        <v>1</v>
      </c>
      <c r="M147" s="42">
        <f t="shared" si="3"/>
        <v>0</v>
      </c>
      <c r="N147" s="42">
        <f t="shared" si="4"/>
        <v>0</v>
      </c>
      <c r="O147" s="42">
        <f t="shared" si="5"/>
        <v>1</v>
      </c>
      <c r="P147" s="42">
        <f t="shared" si="6"/>
        <v>1</v>
      </c>
      <c r="Q147" s="42">
        <f t="shared" si="7"/>
        <v>0</v>
      </c>
      <c r="R147" s="42">
        <f t="shared" si="8"/>
        <v>0</v>
      </c>
      <c r="S147" s="43" t="str">
        <f t="shared" si="9"/>
        <v>YEMOLEE</v>
      </c>
      <c r="T147" s="41"/>
      <c r="U147" s="28">
        <f t="shared" si="10"/>
        <v>-5</v>
      </c>
      <c r="V147" s="28">
        <f t="shared" ref="V147:W147" si="155">IF($L147=0,"",$I147-$H147)</f>
        <v>5</v>
      </c>
      <c r="W147" s="28">
        <f t="shared" si="155"/>
        <v>5</v>
      </c>
      <c r="X147" s="28">
        <f t="shared" si="12"/>
        <v>-5</v>
      </c>
      <c r="Y147" s="28"/>
      <c r="Z147" s="28"/>
    </row>
    <row r="148" ht="15.75" customHeight="1">
      <c r="A148" s="38">
        <v>146.0</v>
      </c>
      <c r="B148" s="39">
        <v>46081.0</v>
      </c>
      <c r="C148" s="40" t="s">
        <v>111</v>
      </c>
      <c r="D148" s="40" t="s">
        <v>106</v>
      </c>
      <c r="E148" s="41"/>
      <c r="F148" s="41"/>
      <c r="G148" s="40" t="s">
        <v>89</v>
      </c>
      <c r="H148" s="42">
        <f>IF($G148="Walkover_Home",Settings!$B$10,IF($G148="Walkover_Away",Settings!$B$11,IF($G148="Cancelled","",IF($E148="","",$E148))))</f>
        <v>3</v>
      </c>
      <c r="I148" s="42">
        <f>IF($G148="Walkover_Home",Settings!$B$11,IF($G148="Walkover_Away",Settings!$B$10,IF($G148="Cancelled","",IF($F148="","",$F148))))</f>
        <v>0</v>
      </c>
      <c r="J148" s="42">
        <f>IF($L148=0,"",IF($G148="Walkover_Home",Settings!$B$7,IF($G148="Walkover_Away",Settings!$B$8,IF($H148&gt;$I148,Settings!$B$3,IF($H148&lt;$I148,Settings!$B$4,Settings!$B$5)))))</f>
        <v>3</v>
      </c>
      <c r="K148" s="42">
        <f>IF($L148=0,"",IF($G148="Walkover_Home",Settings!$B$8,IF($G148="Walkover_Away",Settings!$B$7,IF($I148&gt;$H148,Settings!$B$3,IF($I148&lt;$H148,Settings!$B$4,Settings!$B$5)))))</f>
        <v>0</v>
      </c>
      <c r="L148" s="42">
        <f t="shared" si="2"/>
        <v>1</v>
      </c>
      <c r="M148" s="42">
        <f t="shared" si="3"/>
        <v>1</v>
      </c>
      <c r="N148" s="42">
        <f t="shared" si="4"/>
        <v>0</v>
      </c>
      <c r="O148" s="42">
        <f t="shared" si="5"/>
        <v>0</v>
      </c>
      <c r="P148" s="42">
        <f t="shared" si="6"/>
        <v>0</v>
      </c>
      <c r="Q148" s="42">
        <f t="shared" si="7"/>
        <v>0</v>
      </c>
      <c r="R148" s="42">
        <f t="shared" si="8"/>
        <v>1</v>
      </c>
      <c r="S148" s="43" t="str">
        <f t="shared" si="9"/>
        <v>DRACARYS</v>
      </c>
      <c r="T148" s="41"/>
      <c r="U148" s="28">
        <f t="shared" si="10"/>
        <v>3</v>
      </c>
      <c r="V148" s="28">
        <f t="shared" ref="V148:W148" si="156">IF($L148=0,"",$I148-$H148)</f>
        <v>-3</v>
      </c>
      <c r="W148" s="28">
        <f t="shared" si="156"/>
        <v>-3</v>
      </c>
      <c r="X148" s="28">
        <f t="shared" si="12"/>
        <v>3</v>
      </c>
      <c r="Y148" s="28"/>
      <c r="Z148" s="28"/>
    </row>
    <row r="149" ht="15.75" customHeight="1">
      <c r="A149" s="38">
        <v>147.0</v>
      </c>
      <c r="B149" s="39">
        <v>46081.0</v>
      </c>
      <c r="C149" s="40" t="s">
        <v>105</v>
      </c>
      <c r="D149" s="40" t="s">
        <v>110</v>
      </c>
      <c r="E149" s="40">
        <v>6.0</v>
      </c>
      <c r="F149" s="40">
        <v>5.0</v>
      </c>
      <c r="G149" s="41" t="s">
        <v>5</v>
      </c>
      <c r="H149" s="42">
        <f>IF($G149="Walkover_Home",Settings!$B$10,IF($G149="Walkover_Away",Settings!$B$11,IF($G149="Cancelled","",IF($E149="","",$E149))))</f>
        <v>6</v>
      </c>
      <c r="I149" s="42">
        <f>IF($G149="Walkover_Home",Settings!$B$11,IF($G149="Walkover_Away",Settings!$B$10,IF($G149="Cancelled","",IF($F149="","",$F149))))</f>
        <v>5</v>
      </c>
      <c r="J149" s="42">
        <f>IF($L149=0,"",IF($G149="Walkover_Home",Settings!$B$7,IF($G149="Walkover_Away",Settings!$B$8,IF($H149&gt;$I149,Settings!$B$3,IF($H149&lt;$I149,Settings!$B$4,Settings!$B$5)))))</f>
        <v>3</v>
      </c>
      <c r="K149" s="42">
        <f>IF($L149=0,"",IF($G149="Walkover_Home",Settings!$B$8,IF($G149="Walkover_Away",Settings!$B$7,IF($I149&gt;$H149,Settings!$B$3,IF($I149&lt;$H149,Settings!$B$4,Settings!$B$5)))))</f>
        <v>0</v>
      </c>
      <c r="L149" s="42">
        <f t="shared" si="2"/>
        <v>1</v>
      </c>
      <c r="M149" s="42">
        <f t="shared" si="3"/>
        <v>1</v>
      </c>
      <c r="N149" s="42">
        <f t="shared" si="4"/>
        <v>0</v>
      </c>
      <c r="O149" s="42">
        <f t="shared" si="5"/>
        <v>0</v>
      </c>
      <c r="P149" s="42">
        <f t="shared" si="6"/>
        <v>0</v>
      </c>
      <c r="Q149" s="42">
        <f t="shared" si="7"/>
        <v>0</v>
      </c>
      <c r="R149" s="42">
        <f t="shared" si="8"/>
        <v>1</v>
      </c>
      <c r="S149" s="43" t="str">
        <f t="shared" si="9"/>
        <v>RHYMEZ</v>
      </c>
      <c r="T149" s="41"/>
      <c r="U149" s="28">
        <f t="shared" si="10"/>
        <v>1</v>
      </c>
      <c r="V149" s="28">
        <f t="shared" ref="V149:W149" si="157">IF($L149=0,"",$I149-$H149)</f>
        <v>-1</v>
      </c>
      <c r="W149" s="28">
        <f t="shared" si="157"/>
        <v>-1</v>
      </c>
      <c r="X149" s="28">
        <f t="shared" si="12"/>
        <v>1</v>
      </c>
      <c r="Y149" s="28"/>
      <c r="Z149" s="28"/>
    </row>
    <row r="150" ht="15.75" customHeight="1">
      <c r="A150" s="38">
        <v>148.0</v>
      </c>
      <c r="B150" s="39">
        <v>46081.0</v>
      </c>
      <c r="C150" s="40" t="s">
        <v>109</v>
      </c>
      <c r="D150" s="40" t="s">
        <v>101</v>
      </c>
      <c r="E150" s="40">
        <v>6.0</v>
      </c>
      <c r="F150" s="40">
        <v>6.0</v>
      </c>
      <c r="G150" s="41" t="s">
        <v>5</v>
      </c>
      <c r="H150" s="42">
        <f>IF($G150="Walkover_Home",Settings!$B$10,IF($G150="Walkover_Away",Settings!$B$11,IF($G150="Cancelled","",IF($E150="","",$E150))))</f>
        <v>6</v>
      </c>
      <c r="I150" s="42">
        <f>IF($G150="Walkover_Home",Settings!$B$11,IF($G150="Walkover_Away",Settings!$B$10,IF($G150="Cancelled","",IF($F150="","",$F150))))</f>
        <v>6</v>
      </c>
      <c r="J150" s="42">
        <f>IF($L150=0,"",IF($G150="Walkover_Home",Settings!$B$7,IF($G150="Walkover_Away",Settings!$B$8,IF($H150&gt;$I150,Settings!$B$3,IF($H150&lt;$I150,Settings!$B$4,Settings!$B$5)))))</f>
        <v>1</v>
      </c>
      <c r="K150" s="42">
        <f>IF($L150=0,"",IF($G150="Walkover_Home",Settings!$B$8,IF($G150="Walkover_Away",Settings!$B$7,IF($I150&gt;$H150,Settings!$B$3,IF($I150&lt;$H150,Settings!$B$4,Settings!$B$5)))))</f>
        <v>1</v>
      </c>
      <c r="L150" s="42">
        <f t="shared" si="2"/>
        <v>1</v>
      </c>
      <c r="M150" s="42">
        <f t="shared" si="3"/>
        <v>0</v>
      </c>
      <c r="N150" s="42">
        <f t="shared" si="4"/>
        <v>1</v>
      </c>
      <c r="O150" s="42">
        <f t="shared" si="5"/>
        <v>0</v>
      </c>
      <c r="P150" s="42">
        <f t="shared" si="6"/>
        <v>0</v>
      </c>
      <c r="Q150" s="42">
        <f t="shared" si="7"/>
        <v>1</v>
      </c>
      <c r="R150" s="42">
        <f t="shared" si="8"/>
        <v>0</v>
      </c>
      <c r="S150" s="43" t="str">
        <f t="shared" si="9"/>
        <v>Draw</v>
      </c>
      <c r="T150" s="41"/>
      <c r="U150" s="28">
        <f t="shared" si="10"/>
        <v>0</v>
      </c>
      <c r="V150" s="28">
        <f t="shared" ref="V150:W150" si="158">IF($L150=0,"",$I150-$H150)</f>
        <v>0</v>
      </c>
      <c r="W150" s="28">
        <f t="shared" si="158"/>
        <v>0</v>
      </c>
      <c r="X150" s="28">
        <f t="shared" si="12"/>
        <v>0</v>
      </c>
      <c r="Y150" s="28"/>
      <c r="Z150" s="28"/>
    </row>
    <row r="151" ht="15.75" customHeight="1">
      <c r="A151" s="38">
        <v>149.0</v>
      </c>
      <c r="B151" s="39">
        <v>46081.0</v>
      </c>
      <c r="C151" s="40" t="s">
        <v>107</v>
      </c>
      <c r="D151" s="40" t="s">
        <v>104</v>
      </c>
      <c r="E151" s="40">
        <v>4.0</v>
      </c>
      <c r="F151" s="40">
        <v>7.0</v>
      </c>
      <c r="G151" s="41" t="s">
        <v>5</v>
      </c>
      <c r="H151" s="42">
        <f>IF($G151="Walkover_Home",Settings!$B$10,IF($G151="Walkover_Away",Settings!$B$11,IF($G151="Cancelled","",IF($E151="","",$E151))))</f>
        <v>4</v>
      </c>
      <c r="I151" s="42">
        <f>IF($G151="Walkover_Home",Settings!$B$11,IF($G151="Walkover_Away",Settings!$B$10,IF($G151="Cancelled","",IF($F151="","",$F151))))</f>
        <v>7</v>
      </c>
      <c r="J151" s="42">
        <f>IF($L151=0,"",IF($G151="Walkover_Home",Settings!$B$7,IF($G151="Walkover_Away",Settings!$B$8,IF($H151&gt;$I151,Settings!$B$3,IF($H151&lt;$I151,Settings!$B$4,Settings!$B$5)))))</f>
        <v>0</v>
      </c>
      <c r="K151" s="42">
        <f>IF($L151=0,"",IF($G151="Walkover_Home",Settings!$B$8,IF($G151="Walkover_Away",Settings!$B$7,IF($I151&gt;$H151,Settings!$B$3,IF($I151&lt;$H151,Settings!$B$4,Settings!$B$5)))))</f>
        <v>3</v>
      </c>
      <c r="L151" s="42">
        <f t="shared" si="2"/>
        <v>1</v>
      </c>
      <c r="M151" s="42">
        <f t="shared" si="3"/>
        <v>0</v>
      </c>
      <c r="N151" s="42">
        <f t="shared" si="4"/>
        <v>0</v>
      </c>
      <c r="O151" s="42">
        <f t="shared" si="5"/>
        <v>1</v>
      </c>
      <c r="P151" s="42">
        <f t="shared" si="6"/>
        <v>1</v>
      </c>
      <c r="Q151" s="42">
        <f t="shared" si="7"/>
        <v>0</v>
      </c>
      <c r="R151" s="42">
        <f t="shared" si="8"/>
        <v>0</v>
      </c>
      <c r="S151" s="43" t="str">
        <f t="shared" si="9"/>
        <v>YEMOLEE</v>
      </c>
      <c r="T151" s="41"/>
      <c r="U151" s="28">
        <f t="shared" si="10"/>
        <v>-3</v>
      </c>
      <c r="V151" s="28">
        <f t="shared" ref="V151:W151" si="159">IF($L151=0,"",$I151-$H151)</f>
        <v>3</v>
      </c>
      <c r="W151" s="28">
        <f t="shared" si="159"/>
        <v>3</v>
      </c>
      <c r="X151" s="28">
        <f t="shared" si="12"/>
        <v>-3</v>
      </c>
      <c r="Y151" s="28"/>
      <c r="Z151" s="28"/>
    </row>
    <row r="152" ht="15.75" customHeight="1">
      <c r="A152" s="38">
        <v>150.0</v>
      </c>
      <c r="B152" s="39">
        <v>46081.0</v>
      </c>
      <c r="C152" s="40" t="s">
        <v>112</v>
      </c>
      <c r="D152" s="40" t="s">
        <v>103</v>
      </c>
      <c r="E152" s="41"/>
      <c r="F152" s="41"/>
      <c r="G152" s="40" t="s">
        <v>90</v>
      </c>
      <c r="H152" s="42">
        <f>IF($G152="Walkover_Home",Settings!$B$10,IF($G152="Walkover_Away",Settings!$B$11,IF($G152="Cancelled","",IF($E152="","",$E152))))</f>
        <v>0</v>
      </c>
      <c r="I152" s="42">
        <f>IF($G152="Walkover_Home",Settings!$B$11,IF($G152="Walkover_Away",Settings!$B$10,IF($G152="Cancelled","",IF($F152="","",$F152))))</f>
        <v>3</v>
      </c>
      <c r="J152" s="42">
        <f>IF($L152=0,"",IF($G152="Walkover_Home",Settings!$B$7,IF($G152="Walkover_Away",Settings!$B$8,IF($H152&gt;$I152,Settings!$B$3,IF($H152&lt;$I152,Settings!$B$4,Settings!$B$5)))))</f>
        <v>0</v>
      </c>
      <c r="K152" s="42">
        <f>IF($L152=0,"",IF($G152="Walkover_Home",Settings!$B$8,IF($G152="Walkover_Away",Settings!$B$7,IF($I152&gt;$H152,Settings!$B$3,IF($I152&lt;$H152,Settings!$B$4,Settings!$B$5)))))</f>
        <v>3</v>
      </c>
      <c r="L152" s="42">
        <f t="shared" si="2"/>
        <v>1</v>
      </c>
      <c r="M152" s="42">
        <f t="shared" si="3"/>
        <v>0</v>
      </c>
      <c r="N152" s="42">
        <f t="shared" si="4"/>
        <v>0</v>
      </c>
      <c r="O152" s="42">
        <f t="shared" si="5"/>
        <v>1</v>
      </c>
      <c r="P152" s="42">
        <f t="shared" si="6"/>
        <v>1</v>
      </c>
      <c r="Q152" s="42">
        <f t="shared" si="7"/>
        <v>0</v>
      </c>
      <c r="R152" s="42">
        <f t="shared" si="8"/>
        <v>0</v>
      </c>
      <c r="S152" s="43" t="str">
        <f t="shared" si="9"/>
        <v>BALO K</v>
      </c>
      <c r="T152" s="41"/>
      <c r="U152" s="28">
        <f t="shared" si="10"/>
        <v>-3</v>
      </c>
      <c r="V152" s="28">
        <f t="shared" ref="V152:W152" si="160">IF($L152=0,"",$I152-$H152)</f>
        <v>3</v>
      </c>
      <c r="W152" s="28">
        <f t="shared" si="160"/>
        <v>3</v>
      </c>
      <c r="X152" s="28">
        <f t="shared" si="12"/>
        <v>-3</v>
      </c>
      <c r="Y152" s="28"/>
      <c r="Z152" s="28"/>
    </row>
    <row r="153" ht="15.75" customHeight="1">
      <c r="A153" s="38">
        <v>151.0</v>
      </c>
      <c r="B153" s="39">
        <v>46081.0</v>
      </c>
      <c r="C153" s="40" t="s">
        <v>114</v>
      </c>
      <c r="D153" s="40" t="s">
        <v>95</v>
      </c>
      <c r="E153" s="40">
        <v>7.0</v>
      </c>
      <c r="F153" s="40">
        <v>4.0</v>
      </c>
      <c r="G153" s="41" t="s">
        <v>5</v>
      </c>
      <c r="H153" s="42">
        <f>IF($G153="Walkover_Home",Settings!$B$10,IF($G153="Walkover_Away",Settings!$B$11,IF($G153="Cancelled","",IF($E153="","",$E153))))</f>
        <v>7</v>
      </c>
      <c r="I153" s="42">
        <f>IF($G153="Walkover_Home",Settings!$B$11,IF($G153="Walkover_Away",Settings!$B$10,IF($G153="Cancelled","",IF($F153="","",$F153))))</f>
        <v>4</v>
      </c>
      <c r="J153" s="42">
        <f>IF($L153=0,"",IF($G153="Walkover_Home",Settings!$B$7,IF($G153="Walkover_Away",Settings!$B$8,IF($H153&gt;$I153,Settings!$B$3,IF($H153&lt;$I153,Settings!$B$4,Settings!$B$5)))))</f>
        <v>3</v>
      </c>
      <c r="K153" s="42">
        <f>IF($L153=0,"",IF($G153="Walkover_Home",Settings!$B$8,IF($G153="Walkover_Away",Settings!$B$7,IF($I153&gt;$H153,Settings!$B$3,IF($I153&lt;$H153,Settings!$B$4,Settings!$B$5)))))</f>
        <v>0</v>
      </c>
      <c r="L153" s="42">
        <f t="shared" si="2"/>
        <v>1</v>
      </c>
      <c r="M153" s="42">
        <f t="shared" si="3"/>
        <v>1</v>
      </c>
      <c r="N153" s="42">
        <f t="shared" si="4"/>
        <v>0</v>
      </c>
      <c r="O153" s="42">
        <f t="shared" si="5"/>
        <v>0</v>
      </c>
      <c r="P153" s="42">
        <f t="shared" si="6"/>
        <v>0</v>
      </c>
      <c r="Q153" s="42">
        <f t="shared" si="7"/>
        <v>0</v>
      </c>
      <c r="R153" s="42">
        <f t="shared" si="8"/>
        <v>1</v>
      </c>
      <c r="S153" s="43" t="str">
        <f t="shared" si="9"/>
        <v>KINGNONEX</v>
      </c>
      <c r="T153" s="41"/>
      <c r="U153" s="28">
        <f t="shared" si="10"/>
        <v>3</v>
      </c>
      <c r="V153" s="28">
        <f t="shared" ref="V153:W153" si="161">IF($L153=0,"",$I153-$H153)</f>
        <v>-3</v>
      </c>
      <c r="W153" s="28">
        <f t="shared" si="161"/>
        <v>-3</v>
      </c>
      <c r="X153" s="28">
        <f t="shared" si="12"/>
        <v>3</v>
      </c>
      <c r="Y153" s="28"/>
      <c r="Z153" s="28"/>
    </row>
    <row r="154" ht="15.75" customHeight="1">
      <c r="A154" s="38">
        <v>152.0</v>
      </c>
      <c r="B154" s="39">
        <v>46081.0</v>
      </c>
      <c r="C154" s="40" t="s">
        <v>99</v>
      </c>
      <c r="D154" s="40" t="s">
        <v>102</v>
      </c>
      <c r="E154" s="40">
        <v>4.0</v>
      </c>
      <c r="F154" s="40">
        <v>10.0</v>
      </c>
      <c r="G154" s="41" t="s">
        <v>5</v>
      </c>
      <c r="H154" s="42">
        <f>IF($G154="Walkover_Home",Settings!$B$10,IF($G154="Walkover_Away",Settings!$B$11,IF($G154="Cancelled","",IF($E154="","",$E154))))</f>
        <v>4</v>
      </c>
      <c r="I154" s="42">
        <f>IF($G154="Walkover_Home",Settings!$B$11,IF($G154="Walkover_Away",Settings!$B$10,IF($G154="Cancelled","",IF($F154="","",$F154))))</f>
        <v>10</v>
      </c>
      <c r="J154" s="42">
        <f>IF($L154=0,"",IF($G154="Walkover_Home",Settings!$B$7,IF($G154="Walkover_Away",Settings!$B$8,IF($H154&gt;$I154,Settings!$B$3,IF($H154&lt;$I154,Settings!$B$4,Settings!$B$5)))))</f>
        <v>0</v>
      </c>
      <c r="K154" s="42">
        <f>IF($L154=0,"",IF($G154="Walkover_Home",Settings!$B$8,IF($G154="Walkover_Away",Settings!$B$7,IF($I154&gt;$H154,Settings!$B$3,IF($I154&lt;$H154,Settings!$B$4,Settings!$B$5)))))</f>
        <v>3</v>
      </c>
      <c r="L154" s="42">
        <f t="shared" si="2"/>
        <v>1</v>
      </c>
      <c r="M154" s="42">
        <f t="shared" si="3"/>
        <v>0</v>
      </c>
      <c r="N154" s="42">
        <f t="shared" si="4"/>
        <v>0</v>
      </c>
      <c r="O154" s="42">
        <f t="shared" si="5"/>
        <v>1</v>
      </c>
      <c r="P154" s="42">
        <f t="shared" si="6"/>
        <v>1</v>
      </c>
      <c r="Q154" s="42">
        <f t="shared" si="7"/>
        <v>0</v>
      </c>
      <c r="R154" s="42">
        <f t="shared" si="8"/>
        <v>0</v>
      </c>
      <c r="S154" s="43" t="str">
        <f t="shared" si="9"/>
        <v>KHALEEDOY</v>
      </c>
      <c r="T154" s="41"/>
      <c r="U154" s="28">
        <f t="shared" si="10"/>
        <v>-6</v>
      </c>
      <c r="V154" s="28">
        <f t="shared" ref="V154:W154" si="162">IF($L154=0,"",$I154-$H154)</f>
        <v>6</v>
      </c>
      <c r="W154" s="28">
        <f t="shared" si="162"/>
        <v>6</v>
      </c>
      <c r="X154" s="28">
        <f t="shared" si="12"/>
        <v>-6</v>
      </c>
      <c r="Y154" s="28"/>
      <c r="Z154" s="28"/>
    </row>
    <row r="155" ht="15.75" customHeight="1">
      <c r="A155" s="38">
        <v>153.0</v>
      </c>
      <c r="B155" s="39">
        <v>46082.0</v>
      </c>
      <c r="C155" s="40" t="s">
        <v>113</v>
      </c>
      <c r="D155" s="40" t="s">
        <v>102</v>
      </c>
      <c r="E155" s="40">
        <v>6.0</v>
      </c>
      <c r="F155" s="40">
        <v>6.0</v>
      </c>
      <c r="G155" s="41" t="s">
        <v>5</v>
      </c>
      <c r="H155" s="42">
        <f>IF($G155="Walkover_Home",Settings!$B$10,IF($G155="Walkover_Away",Settings!$B$11,IF($G155="Cancelled","",IF($E155="","",$E155))))</f>
        <v>6</v>
      </c>
      <c r="I155" s="42">
        <f>IF($G155="Walkover_Home",Settings!$B$11,IF($G155="Walkover_Away",Settings!$B$10,IF($G155="Cancelled","",IF($F155="","",$F155))))</f>
        <v>6</v>
      </c>
      <c r="J155" s="42">
        <f>IF($L155=0,"",IF($G155="Walkover_Home",Settings!$B$7,IF($G155="Walkover_Away",Settings!$B$8,IF($H155&gt;$I155,Settings!$B$3,IF($H155&lt;$I155,Settings!$B$4,Settings!$B$5)))))</f>
        <v>1</v>
      </c>
      <c r="K155" s="42">
        <f>IF($L155=0,"",IF($G155="Walkover_Home",Settings!$B$8,IF($G155="Walkover_Away",Settings!$B$7,IF($I155&gt;$H155,Settings!$B$3,IF($I155&lt;$H155,Settings!$B$4,Settings!$B$5)))))</f>
        <v>1</v>
      </c>
      <c r="L155" s="42">
        <f t="shared" si="2"/>
        <v>1</v>
      </c>
      <c r="M155" s="42">
        <f t="shared" si="3"/>
        <v>0</v>
      </c>
      <c r="N155" s="42">
        <f t="shared" si="4"/>
        <v>1</v>
      </c>
      <c r="O155" s="42">
        <f t="shared" si="5"/>
        <v>0</v>
      </c>
      <c r="P155" s="42">
        <f t="shared" si="6"/>
        <v>0</v>
      </c>
      <c r="Q155" s="42">
        <f t="shared" si="7"/>
        <v>1</v>
      </c>
      <c r="R155" s="42">
        <f t="shared" si="8"/>
        <v>0</v>
      </c>
      <c r="S155" s="43" t="str">
        <f t="shared" si="9"/>
        <v>Draw</v>
      </c>
      <c r="T155" s="41"/>
      <c r="U155" s="28">
        <f t="shared" si="10"/>
        <v>0</v>
      </c>
      <c r="V155" s="28">
        <f t="shared" ref="V155:W155" si="163">IF($L155=0,"",$I155-$H155)</f>
        <v>0</v>
      </c>
      <c r="W155" s="28">
        <f t="shared" si="163"/>
        <v>0</v>
      </c>
      <c r="X155" s="28">
        <f t="shared" si="12"/>
        <v>0</v>
      </c>
      <c r="Y155" s="28"/>
      <c r="Z155" s="28"/>
    </row>
    <row r="156" ht="15.75" customHeight="1">
      <c r="A156" s="38">
        <v>154.0</v>
      </c>
      <c r="B156" s="39">
        <v>46082.0</v>
      </c>
      <c r="C156" s="40" t="s">
        <v>112</v>
      </c>
      <c r="D156" s="40" t="s">
        <v>97</v>
      </c>
      <c r="E156" s="41"/>
      <c r="F156" s="41"/>
      <c r="G156" s="40" t="s">
        <v>90</v>
      </c>
      <c r="H156" s="42">
        <f>IF($G156="Walkover_Home",Settings!$B$10,IF($G156="Walkover_Away",Settings!$B$11,IF($G156="Cancelled","",IF($E156="","",$E156))))</f>
        <v>0</v>
      </c>
      <c r="I156" s="42">
        <f>IF($G156="Walkover_Home",Settings!$B$11,IF($G156="Walkover_Away",Settings!$B$10,IF($G156="Cancelled","",IF($F156="","",$F156))))</f>
        <v>3</v>
      </c>
      <c r="J156" s="42">
        <f>IF($L156=0,"",IF($G156="Walkover_Home",Settings!$B$7,IF($G156="Walkover_Away",Settings!$B$8,IF($H156&gt;$I156,Settings!$B$3,IF($H156&lt;$I156,Settings!$B$4,Settings!$B$5)))))</f>
        <v>0</v>
      </c>
      <c r="K156" s="42">
        <f>IF($L156=0,"",IF($G156="Walkover_Home",Settings!$B$8,IF($G156="Walkover_Away",Settings!$B$7,IF($I156&gt;$H156,Settings!$B$3,IF($I156&lt;$H156,Settings!$B$4,Settings!$B$5)))))</f>
        <v>3</v>
      </c>
      <c r="L156" s="42">
        <f t="shared" si="2"/>
        <v>1</v>
      </c>
      <c r="M156" s="42">
        <f t="shared" si="3"/>
        <v>0</v>
      </c>
      <c r="N156" s="42">
        <f t="shared" si="4"/>
        <v>0</v>
      </c>
      <c r="O156" s="42">
        <f t="shared" si="5"/>
        <v>1</v>
      </c>
      <c r="P156" s="42">
        <f t="shared" si="6"/>
        <v>1</v>
      </c>
      <c r="Q156" s="42">
        <f t="shared" si="7"/>
        <v>0</v>
      </c>
      <c r="R156" s="42">
        <f t="shared" si="8"/>
        <v>0</v>
      </c>
      <c r="S156" s="43" t="str">
        <f t="shared" si="9"/>
        <v>BAJI SNR</v>
      </c>
      <c r="T156" s="41"/>
      <c r="U156" s="28">
        <f t="shared" si="10"/>
        <v>-3</v>
      </c>
      <c r="V156" s="28">
        <f t="shared" ref="V156:W156" si="164">IF($L156=0,"",$I156-$H156)</f>
        <v>3</v>
      </c>
      <c r="W156" s="28">
        <f t="shared" si="164"/>
        <v>3</v>
      </c>
      <c r="X156" s="28">
        <f t="shared" si="12"/>
        <v>-3</v>
      </c>
      <c r="Y156" s="28"/>
      <c r="Z156" s="28"/>
    </row>
    <row r="157" ht="15.75" customHeight="1">
      <c r="A157" s="38">
        <v>155.0</v>
      </c>
      <c r="B157" s="39">
        <v>46082.0</v>
      </c>
      <c r="C157" s="40" t="s">
        <v>99</v>
      </c>
      <c r="D157" s="40" t="s">
        <v>98</v>
      </c>
      <c r="E157" s="40">
        <v>8.0</v>
      </c>
      <c r="F157" s="40">
        <v>5.0</v>
      </c>
      <c r="G157" s="41" t="s">
        <v>5</v>
      </c>
      <c r="H157" s="42">
        <f>IF($G157="Walkover_Home",Settings!$B$10,IF($G157="Walkover_Away",Settings!$B$11,IF($G157="Cancelled","",IF($E157="","",$E157))))</f>
        <v>8</v>
      </c>
      <c r="I157" s="42">
        <f>IF($G157="Walkover_Home",Settings!$B$11,IF($G157="Walkover_Away",Settings!$B$10,IF($G157="Cancelled","",IF($F157="","",$F157))))</f>
        <v>5</v>
      </c>
      <c r="J157" s="42">
        <f>IF($L157=0,"",IF($G157="Walkover_Home",Settings!$B$7,IF($G157="Walkover_Away",Settings!$B$8,IF($H157&gt;$I157,Settings!$B$3,IF($H157&lt;$I157,Settings!$B$4,Settings!$B$5)))))</f>
        <v>3</v>
      </c>
      <c r="K157" s="42">
        <f>IF($L157=0,"",IF($G157="Walkover_Home",Settings!$B$8,IF($G157="Walkover_Away",Settings!$B$7,IF($I157&gt;$H157,Settings!$B$3,IF($I157&lt;$H157,Settings!$B$4,Settings!$B$5)))))</f>
        <v>0</v>
      </c>
      <c r="L157" s="42">
        <f t="shared" si="2"/>
        <v>1</v>
      </c>
      <c r="M157" s="42">
        <f t="shared" si="3"/>
        <v>1</v>
      </c>
      <c r="N157" s="42">
        <f t="shared" si="4"/>
        <v>0</v>
      </c>
      <c r="O157" s="42">
        <f t="shared" si="5"/>
        <v>0</v>
      </c>
      <c r="P157" s="42">
        <f t="shared" si="6"/>
        <v>0</v>
      </c>
      <c r="Q157" s="42">
        <f t="shared" si="7"/>
        <v>0</v>
      </c>
      <c r="R157" s="42">
        <f t="shared" si="8"/>
        <v>1</v>
      </c>
      <c r="S157" s="43" t="str">
        <f t="shared" si="9"/>
        <v>KAYKAY</v>
      </c>
      <c r="T157" s="41"/>
      <c r="U157" s="28">
        <f t="shared" si="10"/>
        <v>3</v>
      </c>
      <c r="V157" s="28">
        <f t="shared" ref="V157:W157" si="165">IF($L157=0,"",$I157-$H157)</f>
        <v>-3</v>
      </c>
      <c r="W157" s="28">
        <f t="shared" si="165"/>
        <v>-3</v>
      </c>
      <c r="X157" s="28">
        <f t="shared" si="12"/>
        <v>3</v>
      </c>
      <c r="Y157" s="28"/>
      <c r="Z157" s="28"/>
    </row>
    <row r="158" ht="15.75" customHeight="1">
      <c r="A158" s="38">
        <v>156.0</v>
      </c>
      <c r="B158" s="39">
        <v>46082.0</v>
      </c>
      <c r="C158" s="40" t="s">
        <v>106</v>
      </c>
      <c r="D158" s="40" t="s">
        <v>101</v>
      </c>
      <c r="E158" s="40">
        <v>6.0</v>
      </c>
      <c r="F158" s="40">
        <v>9.0</v>
      </c>
      <c r="G158" s="41" t="s">
        <v>5</v>
      </c>
      <c r="H158" s="42">
        <f>IF($G158="Walkover_Home",Settings!$B$10,IF($G158="Walkover_Away",Settings!$B$11,IF($G158="Cancelled","",IF($E158="","",$E158))))</f>
        <v>6</v>
      </c>
      <c r="I158" s="42">
        <f>IF($G158="Walkover_Home",Settings!$B$11,IF($G158="Walkover_Away",Settings!$B$10,IF($G158="Cancelled","",IF($F158="","",$F158))))</f>
        <v>9</v>
      </c>
      <c r="J158" s="42">
        <f>IF($L158=0,"",IF($G158="Walkover_Home",Settings!$B$7,IF($G158="Walkover_Away",Settings!$B$8,IF($H158&gt;$I158,Settings!$B$3,IF($H158&lt;$I158,Settings!$B$4,Settings!$B$5)))))</f>
        <v>0</v>
      </c>
      <c r="K158" s="42">
        <f>IF($L158=0,"",IF($G158="Walkover_Home",Settings!$B$8,IF($G158="Walkover_Away",Settings!$B$7,IF($I158&gt;$H158,Settings!$B$3,IF($I158&lt;$H158,Settings!$B$4,Settings!$B$5)))))</f>
        <v>3</v>
      </c>
      <c r="L158" s="42">
        <f t="shared" si="2"/>
        <v>1</v>
      </c>
      <c r="M158" s="42">
        <f t="shared" si="3"/>
        <v>0</v>
      </c>
      <c r="N158" s="42">
        <f t="shared" si="4"/>
        <v>0</v>
      </c>
      <c r="O158" s="42">
        <f t="shared" si="5"/>
        <v>1</v>
      </c>
      <c r="P158" s="42">
        <f t="shared" si="6"/>
        <v>1</v>
      </c>
      <c r="Q158" s="42">
        <f t="shared" si="7"/>
        <v>0</v>
      </c>
      <c r="R158" s="42">
        <f t="shared" si="8"/>
        <v>0</v>
      </c>
      <c r="S158" s="43" t="str">
        <f t="shared" si="9"/>
        <v>WOLEVATION</v>
      </c>
      <c r="T158" s="41"/>
      <c r="U158" s="28">
        <f t="shared" si="10"/>
        <v>-3</v>
      </c>
      <c r="V158" s="28">
        <f t="shared" ref="V158:W158" si="166">IF($L158=0,"",$I158-$H158)</f>
        <v>3</v>
      </c>
      <c r="W158" s="28">
        <f t="shared" si="166"/>
        <v>3</v>
      </c>
      <c r="X158" s="28">
        <f t="shared" si="12"/>
        <v>-3</v>
      </c>
      <c r="Y158" s="28"/>
      <c r="Z158" s="28"/>
    </row>
    <row r="159" ht="15.75" customHeight="1">
      <c r="A159" s="38">
        <v>157.0</v>
      </c>
      <c r="B159" s="39">
        <v>46082.0</v>
      </c>
      <c r="C159" s="40" t="s">
        <v>108</v>
      </c>
      <c r="D159" s="40" t="s">
        <v>104</v>
      </c>
      <c r="E159" s="40">
        <v>2.0</v>
      </c>
      <c r="F159" s="40">
        <v>6.0</v>
      </c>
      <c r="G159" s="41" t="s">
        <v>5</v>
      </c>
      <c r="H159" s="42">
        <f>IF($G159="Walkover_Home",Settings!$B$10,IF($G159="Walkover_Away",Settings!$B$11,IF($G159="Cancelled","",IF($E159="","",$E159))))</f>
        <v>2</v>
      </c>
      <c r="I159" s="42">
        <f>IF($G159="Walkover_Home",Settings!$B$11,IF($G159="Walkover_Away",Settings!$B$10,IF($G159="Cancelled","",IF($F159="","",$F159))))</f>
        <v>6</v>
      </c>
      <c r="J159" s="42">
        <f>IF($L159=0,"",IF($G159="Walkover_Home",Settings!$B$7,IF($G159="Walkover_Away",Settings!$B$8,IF($H159&gt;$I159,Settings!$B$3,IF($H159&lt;$I159,Settings!$B$4,Settings!$B$5)))))</f>
        <v>0</v>
      </c>
      <c r="K159" s="42">
        <f>IF($L159=0,"",IF($G159="Walkover_Home",Settings!$B$8,IF($G159="Walkover_Away",Settings!$B$7,IF($I159&gt;$H159,Settings!$B$3,IF($I159&lt;$H159,Settings!$B$4,Settings!$B$5)))))</f>
        <v>3</v>
      </c>
      <c r="L159" s="42">
        <f t="shared" si="2"/>
        <v>1</v>
      </c>
      <c r="M159" s="42">
        <f t="shared" si="3"/>
        <v>0</v>
      </c>
      <c r="N159" s="42">
        <f t="shared" si="4"/>
        <v>0</v>
      </c>
      <c r="O159" s="42">
        <f t="shared" si="5"/>
        <v>1</v>
      </c>
      <c r="P159" s="42">
        <f t="shared" si="6"/>
        <v>1</v>
      </c>
      <c r="Q159" s="42">
        <f t="shared" si="7"/>
        <v>0</v>
      </c>
      <c r="R159" s="42">
        <f t="shared" si="8"/>
        <v>0</v>
      </c>
      <c r="S159" s="43" t="str">
        <f t="shared" si="9"/>
        <v>YEMOLEE</v>
      </c>
      <c r="T159" s="41"/>
      <c r="U159" s="28">
        <f t="shared" si="10"/>
        <v>-4</v>
      </c>
      <c r="V159" s="28">
        <f t="shared" ref="V159:W159" si="167">IF($L159=0,"",$I159-$H159)</f>
        <v>4</v>
      </c>
      <c r="W159" s="28">
        <f t="shared" si="167"/>
        <v>4</v>
      </c>
      <c r="X159" s="28">
        <f t="shared" si="12"/>
        <v>-4</v>
      </c>
      <c r="Y159" s="28"/>
      <c r="Z159" s="28"/>
    </row>
    <row r="160" ht="15.75" customHeight="1">
      <c r="A160" s="38">
        <v>158.0</v>
      </c>
      <c r="B160" s="39">
        <v>46082.0</v>
      </c>
      <c r="C160" s="40" t="s">
        <v>107</v>
      </c>
      <c r="D160" s="40" t="s">
        <v>96</v>
      </c>
      <c r="E160" s="41"/>
      <c r="F160" s="41"/>
      <c r="G160" s="40" t="s">
        <v>90</v>
      </c>
      <c r="H160" s="42">
        <f>IF($G160="Walkover_Home",Settings!$B$10,IF($G160="Walkover_Away",Settings!$B$11,IF($G160="Cancelled","",IF($E160="","",$E160))))</f>
        <v>0</v>
      </c>
      <c r="I160" s="42">
        <f>IF($G160="Walkover_Home",Settings!$B$11,IF($G160="Walkover_Away",Settings!$B$10,IF($G160="Cancelled","",IF($F160="","",$F160))))</f>
        <v>3</v>
      </c>
      <c r="J160" s="42">
        <f>IF($L160=0,"",IF($G160="Walkover_Home",Settings!$B$7,IF($G160="Walkover_Away",Settings!$B$8,IF($H160&gt;$I160,Settings!$B$3,IF($H160&lt;$I160,Settings!$B$4,Settings!$B$5)))))</f>
        <v>0</v>
      </c>
      <c r="K160" s="42">
        <f>IF($L160=0,"",IF($G160="Walkover_Home",Settings!$B$8,IF($G160="Walkover_Away",Settings!$B$7,IF($I160&gt;$H160,Settings!$B$3,IF($I160&lt;$H160,Settings!$B$4,Settings!$B$5)))))</f>
        <v>3</v>
      </c>
      <c r="L160" s="42">
        <f t="shared" si="2"/>
        <v>1</v>
      </c>
      <c r="M160" s="42">
        <f t="shared" si="3"/>
        <v>0</v>
      </c>
      <c r="N160" s="42">
        <f t="shared" si="4"/>
        <v>0</v>
      </c>
      <c r="O160" s="42">
        <f t="shared" si="5"/>
        <v>1</v>
      </c>
      <c r="P160" s="42">
        <f t="shared" si="6"/>
        <v>1</v>
      </c>
      <c r="Q160" s="42">
        <f t="shared" si="7"/>
        <v>0</v>
      </c>
      <c r="R160" s="42">
        <f t="shared" si="8"/>
        <v>0</v>
      </c>
      <c r="S160" s="43" t="str">
        <f t="shared" si="9"/>
        <v>ANIFE</v>
      </c>
      <c r="T160" s="41"/>
      <c r="U160" s="28">
        <f t="shared" si="10"/>
        <v>-3</v>
      </c>
      <c r="V160" s="28">
        <f t="shared" ref="V160:W160" si="168">IF($L160=0,"",$I160-$H160)</f>
        <v>3</v>
      </c>
      <c r="W160" s="28">
        <f t="shared" si="168"/>
        <v>3</v>
      </c>
      <c r="X160" s="28">
        <f t="shared" si="12"/>
        <v>-3</v>
      </c>
      <c r="Y160" s="28"/>
      <c r="Z160" s="28"/>
    </row>
    <row r="161" ht="15.75" customHeight="1">
      <c r="A161" s="38">
        <v>159.0</v>
      </c>
      <c r="B161" s="39">
        <v>46082.0</v>
      </c>
      <c r="C161" s="40" t="s">
        <v>99</v>
      </c>
      <c r="D161" s="40" t="s">
        <v>109</v>
      </c>
      <c r="E161" s="40">
        <v>4.0</v>
      </c>
      <c r="F161" s="40">
        <v>3.0</v>
      </c>
      <c r="G161" s="41" t="s">
        <v>5</v>
      </c>
      <c r="H161" s="42">
        <f>IF($G161="Walkover_Home",Settings!$B$10,IF($G161="Walkover_Away",Settings!$B$11,IF($G161="Cancelled","",IF($E161="","",$E161))))</f>
        <v>4</v>
      </c>
      <c r="I161" s="42">
        <f>IF($G161="Walkover_Home",Settings!$B$11,IF($G161="Walkover_Away",Settings!$B$10,IF($G161="Cancelled","",IF($F161="","",$F161))))</f>
        <v>3</v>
      </c>
      <c r="J161" s="42">
        <f>IF($L161=0,"",IF($G161="Walkover_Home",Settings!$B$7,IF($G161="Walkover_Away",Settings!$B$8,IF($H161&gt;$I161,Settings!$B$3,IF($H161&lt;$I161,Settings!$B$4,Settings!$B$5)))))</f>
        <v>3</v>
      </c>
      <c r="K161" s="42">
        <f>IF($L161=0,"",IF($G161="Walkover_Home",Settings!$B$8,IF($G161="Walkover_Away",Settings!$B$7,IF($I161&gt;$H161,Settings!$B$3,IF($I161&lt;$H161,Settings!$B$4,Settings!$B$5)))))</f>
        <v>0</v>
      </c>
      <c r="L161" s="42">
        <f t="shared" si="2"/>
        <v>1</v>
      </c>
      <c r="M161" s="42">
        <f t="shared" si="3"/>
        <v>1</v>
      </c>
      <c r="N161" s="42">
        <f t="shared" si="4"/>
        <v>0</v>
      </c>
      <c r="O161" s="42">
        <f t="shared" si="5"/>
        <v>0</v>
      </c>
      <c r="P161" s="42">
        <f t="shared" si="6"/>
        <v>0</v>
      </c>
      <c r="Q161" s="42">
        <f t="shared" si="7"/>
        <v>0</v>
      </c>
      <c r="R161" s="42">
        <f t="shared" si="8"/>
        <v>1</v>
      </c>
      <c r="S161" s="43" t="str">
        <f t="shared" si="9"/>
        <v>KAYKAY</v>
      </c>
      <c r="T161" s="41"/>
      <c r="U161" s="28">
        <f t="shared" si="10"/>
        <v>1</v>
      </c>
      <c r="V161" s="28">
        <f t="shared" ref="V161:W161" si="169">IF($L161=0,"",$I161-$H161)</f>
        <v>-1</v>
      </c>
      <c r="W161" s="28">
        <f t="shared" si="169"/>
        <v>-1</v>
      </c>
      <c r="X161" s="28">
        <f t="shared" si="12"/>
        <v>1</v>
      </c>
      <c r="Y161" s="28"/>
      <c r="Z161" s="28"/>
    </row>
    <row r="162" ht="15.75" customHeight="1">
      <c r="A162" s="38">
        <v>160.0</v>
      </c>
      <c r="B162" s="39">
        <v>46082.0</v>
      </c>
      <c r="C162" s="40" t="s">
        <v>112</v>
      </c>
      <c r="D162" s="40" t="s">
        <v>106</v>
      </c>
      <c r="E162" s="41"/>
      <c r="F162" s="41"/>
      <c r="G162" s="40" t="s">
        <v>90</v>
      </c>
      <c r="H162" s="42">
        <f>IF($G162="Walkover_Home",Settings!$B$10,IF($G162="Walkover_Away",Settings!$B$11,IF($G162="Cancelled","",IF($E162="","",$E162))))</f>
        <v>0</v>
      </c>
      <c r="I162" s="42">
        <f>IF($G162="Walkover_Home",Settings!$B$11,IF($G162="Walkover_Away",Settings!$B$10,IF($G162="Cancelled","",IF($F162="","",$F162))))</f>
        <v>3</v>
      </c>
      <c r="J162" s="42">
        <f>IF($L162=0,"",IF($G162="Walkover_Home",Settings!$B$7,IF($G162="Walkover_Away",Settings!$B$8,IF($H162&gt;$I162,Settings!$B$3,IF($H162&lt;$I162,Settings!$B$4,Settings!$B$5)))))</f>
        <v>0</v>
      </c>
      <c r="K162" s="42">
        <f>IF($L162=0,"",IF($G162="Walkover_Home",Settings!$B$8,IF($G162="Walkover_Away",Settings!$B$7,IF($I162&gt;$H162,Settings!$B$3,IF($I162&lt;$H162,Settings!$B$4,Settings!$B$5)))))</f>
        <v>3</v>
      </c>
      <c r="L162" s="42">
        <f t="shared" si="2"/>
        <v>1</v>
      </c>
      <c r="M162" s="42">
        <f t="shared" si="3"/>
        <v>0</v>
      </c>
      <c r="N162" s="42">
        <f t="shared" si="4"/>
        <v>0</v>
      </c>
      <c r="O162" s="42">
        <f t="shared" si="5"/>
        <v>1</v>
      </c>
      <c r="P162" s="42">
        <f t="shared" si="6"/>
        <v>1</v>
      </c>
      <c r="Q162" s="42">
        <f t="shared" si="7"/>
        <v>0</v>
      </c>
      <c r="R162" s="42">
        <f t="shared" si="8"/>
        <v>0</v>
      </c>
      <c r="S162" s="43" t="str">
        <f t="shared" si="9"/>
        <v>SIMPLYY UZO</v>
      </c>
      <c r="T162" s="41"/>
      <c r="U162" s="28">
        <f t="shared" si="10"/>
        <v>-3</v>
      </c>
      <c r="V162" s="28">
        <f t="shared" ref="V162:W162" si="170">IF($L162=0,"",$I162-$H162)</f>
        <v>3</v>
      </c>
      <c r="W162" s="28">
        <f t="shared" si="170"/>
        <v>3</v>
      </c>
      <c r="X162" s="28">
        <f t="shared" si="12"/>
        <v>-3</v>
      </c>
      <c r="Y162" s="28"/>
      <c r="Z162" s="28"/>
    </row>
    <row r="163" ht="15.75" customHeight="1">
      <c r="A163" s="38">
        <v>161.0</v>
      </c>
      <c r="B163" s="39">
        <v>46082.0</v>
      </c>
      <c r="C163" s="40" t="s">
        <v>111</v>
      </c>
      <c r="D163" s="40" t="s">
        <v>110</v>
      </c>
      <c r="E163" s="40">
        <v>2.0</v>
      </c>
      <c r="F163" s="40">
        <v>1.0</v>
      </c>
      <c r="G163" s="41" t="s">
        <v>5</v>
      </c>
      <c r="H163" s="42">
        <f>IF($G163="Walkover_Home",Settings!$B$10,IF($G163="Walkover_Away",Settings!$B$11,IF($G163="Cancelled","",IF($E163="","",$E163))))</f>
        <v>2</v>
      </c>
      <c r="I163" s="42">
        <f>IF($G163="Walkover_Home",Settings!$B$11,IF($G163="Walkover_Away",Settings!$B$10,IF($G163="Cancelled","",IF($F163="","",$F163))))</f>
        <v>1</v>
      </c>
      <c r="J163" s="42">
        <f>IF($L163=0,"",IF($G163="Walkover_Home",Settings!$B$7,IF($G163="Walkover_Away",Settings!$B$8,IF($H163&gt;$I163,Settings!$B$3,IF($H163&lt;$I163,Settings!$B$4,Settings!$B$5)))))</f>
        <v>3</v>
      </c>
      <c r="K163" s="42">
        <f>IF($L163=0,"",IF($G163="Walkover_Home",Settings!$B$8,IF($G163="Walkover_Away",Settings!$B$7,IF($I163&gt;$H163,Settings!$B$3,IF($I163&lt;$H163,Settings!$B$4,Settings!$B$5)))))</f>
        <v>0</v>
      </c>
      <c r="L163" s="42">
        <f t="shared" si="2"/>
        <v>1</v>
      </c>
      <c r="M163" s="42">
        <f t="shared" si="3"/>
        <v>1</v>
      </c>
      <c r="N163" s="42">
        <f t="shared" si="4"/>
        <v>0</v>
      </c>
      <c r="O163" s="42">
        <f t="shared" si="5"/>
        <v>0</v>
      </c>
      <c r="P163" s="42">
        <f t="shared" si="6"/>
        <v>0</v>
      </c>
      <c r="Q163" s="42">
        <f t="shared" si="7"/>
        <v>0</v>
      </c>
      <c r="R163" s="42">
        <f t="shared" si="8"/>
        <v>1</v>
      </c>
      <c r="S163" s="43" t="str">
        <f t="shared" si="9"/>
        <v>DRACARYS</v>
      </c>
      <c r="T163" s="41"/>
      <c r="U163" s="28">
        <f t="shared" si="10"/>
        <v>1</v>
      </c>
      <c r="V163" s="28">
        <f t="shared" ref="V163:W163" si="171">IF($L163=0,"",$I163-$H163)</f>
        <v>-1</v>
      </c>
      <c r="W163" s="28">
        <f t="shared" si="171"/>
        <v>-1</v>
      </c>
      <c r="X163" s="28">
        <f t="shared" si="12"/>
        <v>1</v>
      </c>
      <c r="Y163" s="28"/>
      <c r="Z163" s="28"/>
    </row>
    <row r="164" ht="15.75" customHeight="1">
      <c r="A164" s="38">
        <v>162.0</v>
      </c>
      <c r="B164" s="39">
        <v>46082.0</v>
      </c>
      <c r="C164" s="40" t="s">
        <v>111</v>
      </c>
      <c r="D164" s="40" t="s">
        <v>102</v>
      </c>
      <c r="E164" s="40">
        <v>4.0</v>
      </c>
      <c r="F164" s="40">
        <v>3.0</v>
      </c>
      <c r="G164" s="41" t="s">
        <v>5</v>
      </c>
      <c r="H164" s="42">
        <f>IF($G164="Walkover_Home",Settings!$B$10,IF($G164="Walkover_Away",Settings!$B$11,IF($G164="Cancelled","",IF($E164="","",$E164))))</f>
        <v>4</v>
      </c>
      <c r="I164" s="42">
        <f>IF($G164="Walkover_Home",Settings!$B$11,IF($G164="Walkover_Away",Settings!$B$10,IF($G164="Cancelled","",IF($F164="","",$F164))))</f>
        <v>3</v>
      </c>
      <c r="J164" s="42">
        <f>IF($L164=0,"",IF($G164="Walkover_Home",Settings!$B$7,IF($G164="Walkover_Away",Settings!$B$8,IF($H164&gt;$I164,Settings!$B$3,IF($H164&lt;$I164,Settings!$B$4,Settings!$B$5)))))</f>
        <v>3</v>
      </c>
      <c r="K164" s="42">
        <f>IF($L164=0,"",IF($G164="Walkover_Home",Settings!$B$8,IF($G164="Walkover_Away",Settings!$B$7,IF($I164&gt;$H164,Settings!$B$3,IF($I164&lt;$H164,Settings!$B$4,Settings!$B$5)))))</f>
        <v>0</v>
      </c>
      <c r="L164" s="42">
        <f t="shared" si="2"/>
        <v>1</v>
      </c>
      <c r="M164" s="42">
        <f t="shared" si="3"/>
        <v>1</v>
      </c>
      <c r="N164" s="42">
        <f t="shared" si="4"/>
        <v>0</v>
      </c>
      <c r="O164" s="42">
        <f t="shared" si="5"/>
        <v>0</v>
      </c>
      <c r="P164" s="42">
        <f t="shared" si="6"/>
        <v>0</v>
      </c>
      <c r="Q164" s="42">
        <f t="shared" si="7"/>
        <v>0</v>
      </c>
      <c r="R164" s="42">
        <f t="shared" si="8"/>
        <v>1</v>
      </c>
      <c r="S164" s="43" t="str">
        <f t="shared" si="9"/>
        <v>DRACARYS</v>
      </c>
      <c r="T164" s="41"/>
      <c r="U164" s="28">
        <f t="shared" si="10"/>
        <v>1</v>
      </c>
      <c r="V164" s="28">
        <f t="shared" ref="V164:W164" si="172">IF($L164=0,"",$I164-$H164)</f>
        <v>-1</v>
      </c>
      <c r="W164" s="28">
        <f t="shared" si="172"/>
        <v>-1</v>
      </c>
      <c r="X164" s="28">
        <f t="shared" si="12"/>
        <v>1</v>
      </c>
      <c r="Y164" s="28"/>
      <c r="Z164" s="28"/>
    </row>
    <row r="165" ht="15.75" customHeight="1">
      <c r="A165" s="38">
        <v>163.0</v>
      </c>
      <c r="B165" s="39">
        <v>46082.0</v>
      </c>
      <c r="C165" s="40" t="s">
        <v>105</v>
      </c>
      <c r="D165" s="40" t="s">
        <v>95</v>
      </c>
      <c r="E165" s="40">
        <v>4.0</v>
      </c>
      <c r="F165" s="40">
        <v>3.0</v>
      </c>
      <c r="G165" s="41" t="s">
        <v>5</v>
      </c>
      <c r="H165" s="42">
        <f>IF($G165="Walkover_Home",Settings!$B$10,IF($G165="Walkover_Away",Settings!$B$11,IF($G165="Cancelled","",IF($E165="","",$E165))))</f>
        <v>4</v>
      </c>
      <c r="I165" s="42">
        <f>IF($G165="Walkover_Home",Settings!$B$11,IF($G165="Walkover_Away",Settings!$B$10,IF($G165="Cancelled","",IF($F165="","",$F165))))</f>
        <v>3</v>
      </c>
      <c r="J165" s="42">
        <f>IF($L165=0,"",IF($G165="Walkover_Home",Settings!$B$7,IF($G165="Walkover_Away",Settings!$B$8,IF($H165&gt;$I165,Settings!$B$3,IF($H165&lt;$I165,Settings!$B$4,Settings!$B$5)))))</f>
        <v>3</v>
      </c>
      <c r="K165" s="42">
        <f>IF($L165=0,"",IF($G165="Walkover_Home",Settings!$B$8,IF($G165="Walkover_Away",Settings!$B$7,IF($I165&gt;$H165,Settings!$B$3,IF($I165&lt;$H165,Settings!$B$4,Settings!$B$5)))))</f>
        <v>0</v>
      </c>
      <c r="L165" s="42">
        <f t="shared" si="2"/>
        <v>1</v>
      </c>
      <c r="M165" s="42">
        <f t="shared" si="3"/>
        <v>1</v>
      </c>
      <c r="N165" s="42">
        <f t="shared" si="4"/>
        <v>0</v>
      </c>
      <c r="O165" s="42">
        <f t="shared" si="5"/>
        <v>0</v>
      </c>
      <c r="P165" s="42">
        <f t="shared" si="6"/>
        <v>0</v>
      </c>
      <c r="Q165" s="42">
        <f t="shared" si="7"/>
        <v>0</v>
      </c>
      <c r="R165" s="42">
        <f t="shared" si="8"/>
        <v>1</v>
      </c>
      <c r="S165" s="43" t="str">
        <f t="shared" si="9"/>
        <v>RHYMEZ</v>
      </c>
      <c r="T165" s="41"/>
      <c r="U165" s="28">
        <f t="shared" si="10"/>
        <v>1</v>
      </c>
      <c r="V165" s="28">
        <f t="shared" ref="V165:W165" si="173">IF($L165=0,"",$I165-$H165)</f>
        <v>-1</v>
      </c>
      <c r="W165" s="28">
        <f t="shared" si="173"/>
        <v>-1</v>
      </c>
      <c r="X165" s="28">
        <f t="shared" si="12"/>
        <v>1</v>
      </c>
      <c r="Y165" s="28"/>
      <c r="Z165" s="28"/>
    </row>
    <row r="166" ht="15.75" customHeight="1">
      <c r="A166" s="38">
        <v>164.0</v>
      </c>
      <c r="B166" s="39">
        <v>46082.0</v>
      </c>
      <c r="C166" s="40" t="s">
        <v>100</v>
      </c>
      <c r="D166" s="40" t="s">
        <v>109</v>
      </c>
      <c r="E166" s="40">
        <v>5.0</v>
      </c>
      <c r="F166" s="40">
        <v>6.0</v>
      </c>
      <c r="G166" s="41" t="s">
        <v>5</v>
      </c>
      <c r="H166" s="42">
        <f>IF($G166="Walkover_Home",Settings!$B$10,IF($G166="Walkover_Away",Settings!$B$11,IF($G166="Cancelled","",IF($E166="","",$E166))))</f>
        <v>5</v>
      </c>
      <c r="I166" s="42">
        <f>IF($G166="Walkover_Home",Settings!$B$11,IF($G166="Walkover_Away",Settings!$B$10,IF($G166="Cancelled","",IF($F166="","",$F166))))</f>
        <v>6</v>
      </c>
      <c r="J166" s="42">
        <f>IF($L166=0,"",IF($G166="Walkover_Home",Settings!$B$7,IF($G166="Walkover_Away",Settings!$B$8,IF($H166&gt;$I166,Settings!$B$3,IF($H166&lt;$I166,Settings!$B$4,Settings!$B$5)))))</f>
        <v>0</v>
      </c>
      <c r="K166" s="42">
        <f>IF($L166=0,"",IF($G166="Walkover_Home",Settings!$B$8,IF($G166="Walkover_Away",Settings!$B$7,IF($I166&gt;$H166,Settings!$B$3,IF($I166&lt;$H166,Settings!$B$4,Settings!$B$5)))))</f>
        <v>3</v>
      </c>
      <c r="L166" s="42">
        <f t="shared" si="2"/>
        <v>1</v>
      </c>
      <c r="M166" s="42">
        <f t="shared" si="3"/>
        <v>0</v>
      </c>
      <c r="N166" s="42">
        <f t="shared" si="4"/>
        <v>0</v>
      </c>
      <c r="O166" s="42">
        <f t="shared" si="5"/>
        <v>1</v>
      </c>
      <c r="P166" s="42">
        <f t="shared" si="6"/>
        <v>1</v>
      </c>
      <c r="Q166" s="42">
        <f t="shared" si="7"/>
        <v>0</v>
      </c>
      <c r="R166" s="42">
        <f t="shared" si="8"/>
        <v>0</v>
      </c>
      <c r="S166" s="43" t="str">
        <f t="shared" si="9"/>
        <v>DADABOI</v>
      </c>
      <c r="T166" s="41"/>
      <c r="U166" s="28">
        <f t="shared" si="10"/>
        <v>-1</v>
      </c>
      <c r="V166" s="28">
        <f t="shared" ref="V166:W166" si="174">IF($L166=0,"",$I166-$H166)</f>
        <v>1</v>
      </c>
      <c r="W166" s="28">
        <f t="shared" si="174"/>
        <v>1</v>
      </c>
      <c r="X166" s="28">
        <f t="shared" si="12"/>
        <v>-1</v>
      </c>
      <c r="Y166" s="28"/>
      <c r="Z166" s="28"/>
    </row>
    <row r="167" ht="15.75" customHeight="1">
      <c r="A167" s="38">
        <v>165.0</v>
      </c>
      <c r="B167" s="39">
        <v>46088.0</v>
      </c>
      <c r="C167" s="40" t="s">
        <v>109</v>
      </c>
      <c r="D167" s="40" t="s">
        <v>98</v>
      </c>
      <c r="E167" s="40">
        <v>3.0</v>
      </c>
      <c r="F167" s="40">
        <v>4.0</v>
      </c>
      <c r="G167" s="41" t="s">
        <v>5</v>
      </c>
      <c r="H167" s="42">
        <f>IF($G167="Walkover_Home",Settings!$B$10,IF($G167="Walkover_Away",Settings!$B$11,IF($G167="Cancelled","",IF($E167="","",$E167))))</f>
        <v>3</v>
      </c>
      <c r="I167" s="42">
        <f>IF($G167="Walkover_Home",Settings!$B$11,IF($G167="Walkover_Away",Settings!$B$10,IF($G167="Cancelled","",IF($F167="","",$F167))))</f>
        <v>4</v>
      </c>
      <c r="J167" s="42">
        <f>IF($L167=0,"",IF($G167="Walkover_Home",Settings!$B$7,IF($G167="Walkover_Away",Settings!$B$8,IF($H167&gt;$I167,Settings!$B$3,IF($H167&lt;$I167,Settings!$B$4,Settings!$B$5)))))</f>
        <v>0</v>
      </c>
      <c r="K167" s="42">
        <f>IF($L167=0,"",IF($G167="Walkover_Home",Settings!$B$8,IF($G167="Walkover_Away",Settings!$B$7,IF($I167&gt;$H167,Settings!$B$3,IF($I167&lt;$H167,Settings!$B$4,Settings!$B$5)))))</f>
        <v>3</v>
      </c>
      <c r="L167" s="42">
        <f t="shared" si="2"/>
        <v>1</v>
      </c>
      <c r="M167" s="42">
        <f t="shared" si="3"/>
        <v>0</v>
      </c>
      <c r="N167" s="42">
        <f t="shared" si="4"/>
        <v>0</v>
      </c>
      <c r="O167" s="42">
        <f t="shared" si="5"/>
        <v>1</v>
      </c>
      <c r="P167" s="42">
        <f t="shared" si="6"/>
        <v>1</v>
      </c>
      <c r="Q167" s="42">
        <f t="shared" si="7"/>
        <v>0</v>
      </c>
      <c r="R167" s="42">
        <f t="shared" si="8"/>
        <v>0</v>
      </c>
      <c r="S167" s="43" t="str">
        <f t="shared" si="9"/>
        <v>GURU</v>
      </c>
      <c r="T167" s="41"/>
      <c r="U167" s="28">
        <f t="shared" si="10"/>
        <v>-1</v>
      </c>
      <c r="V167" s="28">
        <f t="shared" ref="V167:W167" si="175">IF($L167=0,"",$I167-$H167)</f>
        <v>1</v>
      </c>
      <c r="W167" s="28">
        <f t="shared" si="175"/>
        <v>1</v>
      </c>
      <c r="X167" s="28">
        <f t="shared" si="12"/>
        <v>-1</v>
      </c>
      <c r="Y167" s="28"/>
      <c r="Z167" s="28"/>
    </row>
    <row r="168" ht="15.75" customHeight="1">
      <c r="A168" s="38">
        <v>166.0</v>
      </c>
      <c r="B168" s="39">
        <v>46088.0</v>
      </c>
      <c r="C168" s="40" t="s">
        <v>105</v>
      </c>
      <c r="D168" s="40" t="s">
        <v>112</v>
      </c>
      <c r="E168" s="40">
        <v>7.0</v>
      </c>
      <c r="F168" s="40">
        <v>2.0</v>
      </c>
      <c r="G168" s="41" t="s">
        <v>5</v>
      </c>
      <c r="H168" s="42">
        <f>IF($G168="Walkover_Home",Settings!$B$10,IF($G168="Walkover_Away",Settings!$B$11,IF($G168="Cancelled","",IF($E168="","",$E168))))</f>
        <v>7</v>
      </c>
      <c r="I168" s="42">
        <f>IF($G168="Walkover_Home",Settings!$B$11,IF($G168="Walkover_Away",Settings!$B$10,IF($G168="Cancelled","",IF($F168="","",$F168))))</f>
        <v>2</v>
      </c>
      <c r="J168" s="42">
        <f>IF($L168=0,"",IF($G168="Walkover_Home",Settings!$B$7,IF($G168="Walkover_Away",Settings!$B$8,IF($H168&gt;$I168,Settings!$B$3,IF($H168&lt;$I168,Settings!$B$4,Settings!$B$5)))))</f>
        <v>3</v>
      </c>
      <c r="K168" s="42">
        <f>IF($L168=0,"",IF($G168="Walkover_Home",Settings!$B$8,IF($G168="Walkover_Away",Settings!$B$7,IF($I168&gt;$H168,Settings!$B$3,IF($I168&lt;$H168,Settings!$B$4,Settings!$B$5)))))</f>
        <v>0</v>
      </c>
      <c r="L168" s="42">
        <f t="shared" si="2"/>
        <v>1</v>
      </c>
      <c r="M168" s="42">
        <f t="shared" si="3"/>
        <v>1</v>
      </c>
      <c r="N168" s="42">
        <f t="shared" si="4"/>
        <v>0</v>
      </c>
      <c r="O168" s="42">
        <f t="shared" si="5"/>
        <v>0</v>
      </c>
      <c r="P168" s="42">
        <f t="shared" si="6"/>
        <v>0</v>
      </c>
      <c r="Q168" s="42">
        <f t="shared" si="7"/>
        <v>0</v>
      </c>
      <c r="R168" s="42">
        <f t="shared" si="8"/>
        <v>1</v>
      </c>
      <c r="S168" s="43" t="str">
        <f t="shared" si="9"/>
        <v>RHYMEZ</v>
      </c>
      <c r="T168" s="41"/>
      <c r="U168" s="28">
        <f t="shared" si="10"/>
        <v>5</v>
      </c>
      <c r="V168" s="28">
        <f t="shared" ref="V168:W168" si="176">IF($L168=0,"",$I168-$H168)</f>
        <v>-5</v>
      </c>
      <c r="W168" s="28">
        <f t="shared" si="176"/>
        <v>-5</v>
      </c>
      <c r="X168" s="28">
        <f t="shared" si="12"/>
        <v>5</v>
      </c>
      <c r="Y168" s="28"/>
      <c r="Z168" s="28"/>
    </row>
    <row r="169" ht="15.75" customHeight="1">
      <c r="A169" s="38">
        <v>167.0</v>
      </c>
      <c r="B169" s="39">
        <v>46088.0</v>
      </c>
      <c r="C169" s="40" t="s">
        <v>114</v>
      </c>
      <c r="D169" s="40" t="s">
        <v>110</v>
      </c>
      <c r="E169" s="41"/>
      <c r="F169" s="41"/>
      <c r="G169" s="40" t="s">
        <v>89</v>
      </c>
      <c r="H169" s="42">
        <f>IF($G169="Walkover_Home",Settings!$B$10,IF($G169="Walkover_Away",Settings!$B$11,IF($G169="Cancelled","",IF($E169="","",$E169))))</f>
        <v>3</v>
      </c>
      <c r="I169" s="42">
        <f>IF($G169="Walkover_Home",Settings!$B$11,IF($G169="Walkover_Away",Settings!$B$10,IF($G169="Cancelled","",IF($F169="","",$F169))))</f>
        <v>0</v>
      </c>
      <c r="J169" s="42">
        <f>IF($L169=0,"",IF($G169="Walkover_Home",Settings!$B$7,IF($G169="Walkover_Away",Settings!$B$8,IF($H169&gt;$I169,Settings!$B$3,IF($H169&lt;$I169,Settings!$B$4,Settings!$B$5)))))</f>
        <v>3</v>
      </c>
      <c r="K169" s="42">
        <f>IF($L169=0,"",IF($G169="Walkover_Home",Settings!$B$8,IF($G169="Walkover_Away",Settings!$B$7,IF($I169&gt;$H169,Settings!$B$3,IF($I169&lt;$H169,Settings!$B$4,Settings!$B$5)))))</f>
        <v>0</v>
      </c>
      <c r="L169" s="42">
        <f t="shared" si="2"/>
        <v>1</v>
      </c>
      <c r="M169" s="42">
        <f t="shared" si="3"/>
        <v>1</v>
      </c>
      <c r="N169" s="42">
        <f t="shared" si="4"/>
        <v>0</v>
      </c>
      <c r="O169" s="42">
        <f t="shared" si="5"/>
        <v>0</v>
      </c>
      <c r="P169" s="42">
        <f t="shared" si="6"/>
        <v>0</v>
      </c>
      <c r="Q169" s="42">
        <f t="shared" si="7"/>
        <v>0</v>
      </c>
      <c r="R169" s="42">
        <f t="shared" si="8"/>
        <v>1</v>
      </c>
      <c r="S169" s="43" t="str">
        <f t="shared" si="9"/>
        <v>KINGNONEX</v>
      </c>
      <c r="T169" s="41"/>
      <c r="U169" s="28">
        <f t="shared" si="10"/>
        <v>3</v>
      </c>
      <c r="V169" s="28">
        <f t="shared" ref="V169:W169" si="177">IF($L169=0,"",$I169-$H169)</f>
        <v>-3</v>
      </c>
      <c r="W169" s="28">
        <f t="shared" si="177"/>
        <v>-3</v>
      </c>
      <c r="X169" s="28">
        <f t="shared" si="12"/>
        <v>3</v>
      </c>
      <c r="Y169" s="28"/>
      <c r="Z169" s="28"/>
    </row>
    <row r="170" ht="15.75" customHeight="1">
      <c r="A170" s="38">
        <v>168.0</v>
      </c>
      <c r="B170" s="39">
        <v>46088.0</v>
      </c>
      <c r="C170" s="40" t="s">
        <v>107</v>
      </c>
      <c r="D170" s="40" t="s">
        <v>106</v>
      </c>
      <c r="E170" s="41"/>
      <c r="F170" s="41"/>
      <c r="G170" s="40" t="s">
        <v>91</v>
      </c>
      <c r="H170" s="42" t="str">
        <f>IF($G170="Walkover_Home",Settings!$B$10,IF($G170="Walkover_Away",Settings!$B$11,IF($G170="Cancelled","",IF($E170="","",$E170))))</f>
        <v/>
      </c>
      <c r="I170" s="42" t="str">
        <f>IF($G170="Walkover_Home",Settings!$B$11,IF($G170="Walkover_Away",Settings!$B$10,IF($G170="Cancelled","",IF($F170="","",$F170))))</f>
        <v/>
      </c>
      <c r="J170" s="42" t="str">
        <f>IF($L170=0,"",IF($G170="Walkover_Home",Settings!$B$7,IF($G170="Walkover_Away",Settings!$B$8,IF($H170&gt;$I170,Settings!$B$3,IF($H170&lt;$I170,Settings!$B$4,Settings!$B$5)))))</f>
        <v/>
      </c>
      <c r="K170" s="42" t="str">
        <f>IF($L170=0,"",IF($G170="Walkover_Home",Settings!$B$8,IF($G170="Walkover_Away",Settings!$B$7,IF($I170&gt;$H170,Settings!$B$3,IF($I170&lt;$H170,Settings!$B$4,Settings!$B$5)))))</f>
        <v/>
      </c>
      <c r="L170" s="42">
        <f t="shared" si="2"/>
        <v>0</v>
      </c>
      <c r="M170" s="42" t="str">
        <f t="shared" si="3"/>
        <v/>
      </c>
      <c r="N170" s="42" t="str">
        <f t="shared" si="4"/>
        <v/>
      </c>
      <c r="O170" s="42" t="str">
        <f t="shared" si="5"/>
        <v/>
      </c>
      <c r="P170" s="42" t="str">
        <f t="shared" si="6"/>
        <v/>
      </c>
      <c r="Q170" s="42" t="str">
        <f t="shared" si="7"/>
        <v/>
      </c>
      <c r="R170" s="42" t="str">
        <f t="shared" si="8"/>
        <v/>
      </c>
      <c r="S170" s="43" t="str">
        <f t="shared" si="9"/>
        <v/>
      </c>
      <c r="T170" s="41"/>
      <c r="U170" s="28" t="str">
        <f t="shared" si="10"/>
        <v/>
      </c>
      <c r="V170" s="28" t="str">
        <f t="shared" ref="V170:W170" si="178">IF($L170=0,"",$I170-$H170)</f>
        <v/>
      </c>
      <c r="W170" s="28" t="str">
        <f t="shared" si="178"/>
        <v/>
      </c>
      <c r="X170" s="28" t="str">
        <f t="shared" si="12"/>
        <v/>
      </c>
      <c r="Y170" s="28"/>
      <c r="Z170" s="28"/>
    </row>
    <row r="171" ht="15.75" customHeight="1">
      <c r="A171" s="38">
        <v>169.0</v>
      </c>
      <c r="B171" s="39">
        <v>46088.0</v>
      </c>
      <c r="C171" s="40" t="s">
        <v>111</v>
      </c>
      <c r="D171" s="40" t="s">
        <v>95</v>
      </c>
      <c r="E171" s="40">
        <v>6.0</v>
      </c>
      <c r="F171" s="40">
        <v>8.0</v>
      </c>
      <c r="G171" s="41" t="s">
        <v>5</v>
      </c>
      <c r="H171" s="42">
        <f>IF($G171="Walkover_Home",Settings!$B$10,IF($G171="Walkover_Away",Settings!$B$11,IF($G171="Cancelled","",IF($E171="","",$E171))))</f>
        <v>6</v>
      </c>
      <c r="I171" s="42">
        <f>IF($G171="Walkover_Home",Settings!$B$11,IF($G171="Walkover_Away",Settings!$B$10,IF($G171="Cancelled","",IF($F171="","",$F171))))</f>
        <v>8</v>
      </c>
      <c r="J171" s="42">
        <f>IF($L171=0,"",IF($G171="Walkover_Home",Settings!$B$7,IF($G171="Walkover_Away",Settings!$B$8,IF($H171&gt;$I171,Settings!$B$3,IF($H171&lt;$I171,Settings!$B$4,Settings!$B$5)))))</f>
        <v>0</v>
      </c>
      <c r="K171" s="42">
        <f>IF($L171=0,"",IF($G171="Walkover_Home",Settings!$B$8,IF($G171="Walkover_Away",Settings!$B$7,IF($I171&gt;$H171,Settings!$B$3,IF($I171&lt;$H171,Settings!$B$4,Settings!$B$5)))))</f>
        <v>3</v>
      </c>
      <c r="L171" s="42">
        <f t="shared" si="2"/>
        <v>1</v>
      </c>
      <c r="M171" s="42">
        <f t="shared" si="3"/>
        <v>0</v>
      </c>
      <c r="N171" s="42">
        <f t="shared" si="4"/>
        <v>0</v>
      </c>
      <c r="O171" s="42">
        <f t="shared" si="5"/>
        <v>1</v>
      </c>
      <c r="P171" s="42">
        <f t="shared" si="6"/>
        <v>1</v>
      </c>
      <c r="Q171" s="42">
        <f t="shared" si="7"/>
        <v>0</v>
      </c>
      <c r="R171" s="42">
        <f t="shared" si="8"/>
        <v>0</v>
      </c>
      <c r="S171" s="43" t="str">
        <f t="shared" si="9"/>
        <v>MR OGA</v>
      </c>
      <c r="T171" s="41"/>
      <c r="U171" s="28">
        <f t="shared" si="10"/>
        <v>-2</v>
      </c>
      <c r="V171" s="28">
        <f t="shared" ref="V171:W171" si="179">IF($L171=0,"",$I171-$H171)</f>
        <v>2</v>
      </c>
      <c r="W171" s="28">
        <f t="shared" si="179"/>
        <v>2</v>
      </c>
      <c r="X171" s="28">
        <f t="shared" si="12"/>
        <v>-2</v>
      </c>
      <c r="Y171" s="28"/>
      <c r="Z171" s="28"/>
    </row>
    <row r="172" ht="15.75" customHeight="1">
      <c r="A172" s="38">
        <v>170.0</v>
      </c>
      <c r="B172" s="39">
        <v>46088.0</v>
      </c>
      <c r="C172" s="40" t="s">
        <v>109</v>
      </c>
      <c r="D172" s="40" t="s">
        <v>103</v>
      </c>
      <c r="E172" s="40">
        <v>9.0</v>
      </c>
      <c r="F172" s="40">
        <v>1.0</v>
      </c>
      <c r="G172" s="41" t="s">
        <v>5</v>
      </c>
      <c r="H172" s="42">
        <f>IF($G172="Walkover_Home",Settings!$B$10,IF($G172="Walkover_Away",Settings!$B$11,IF($G172="Cancelled","",IF($E172="","",$E172))))</f>
        <v>9</v>
      </c>
      <c r="I172" s="42">
        <f>IF($G172="Walkover_Home",Settings!$B$11,IF($G172="Walkover_Away",Settings!$B$10,IF($G172="Cancelled","",IF($F172="","",$F172))))</f>
        <v>1</v>
      </c>
      <c r="J172" s="42">
        <f>IF($L172=0,"",IF($G172="Walkover_Home",Settings!$B$7,IF($G172="Walkover_Away",Settings!$B$8,IF($H172&gt;$I172,Settings!$B$3,IF($H172&lt;$I172,Settings!$B$4,Settings!$B$5)))))</f>
        <v>3</v>
      </c>
      <c r="K172" s="42">
        <f>IF($L172=0,"",IF($G172="Walkover_Home",Settings!$B$8,IF($G172="Walkover_Away",Settings!$B$7,IF($I172&gt;$H172,Settings!$B$3,IF($I172&lt;$H172,Settings!$B$4,Settings!$B$5)))))</f>
        <v>0</v>
      </c>
      <c r="L172" s="42">
        <f t="shared" si="2"/>
        <v>1</v>
      </c>
      <c r="M172" s="42">
        <f t="shared" si="3"/>
        <v>1</v>
      </c>
      <c r="N172" s="42">
        <f t="shared" si="4"/>
        <v>0</v>
      </c>
      <c r="O172" s="42">
        <f t="shared" si="5"/>
        <v>0</v>
      </c>
      <c r="P172" s="42">
        <f t="shared" si="6"/>
        <v>0</v>
      </c>
      <c r="Q172" s="42">
        <f t="shared" si="7"/>
        <v>0</v>
      </c>
      <c r="R172" s="42">
        <f t="shared" si="8"/>
        <v>1</v>
      </c>
      <c r="S172" s="43" t="str">
        <f t="shared" si="9"/>
        <v>DADABOI</v>
      </c>
      <c r="T172" s="41"/>
      <c r="U172" s="28">
        <f t="shared" si="10"/>
        <v>8</v>
      </c>
      <c r="V172" s="28">
        <f t="shared" ref="V172:W172" si="180">IF($L172=0,"",$I172-$H172)</f>
        <v>-8</v>
      </c>
      <c r="W172" s="28">
        <f t="shared" si="180"/>
        <v>-8</v>
      </c>
      <c r="X172" s="28">
        <f t="shared" si="12"/>
        <v>8</v>
      </c>
      <c r="Y172" s="28"/>
      <c r="Z172" s="28"/>
    </row>
    <row r="173" ht="15.75" customHeight="1">
      <c r="A173" s="38">
        <v>171.0</v>
      </c>
      <c r="B173" s="39">
        <v>46088.0</v>
      </c>
      <c r="C173" s="40" t="s">
        <v>96</v>
      </c>
      <c r="D173" s="40" t="s">
        <v>104</v>
      </c>
      <c r="E173" s="40">
        <v>6.0</v>
      </c>
      <c r="F173" s="40">
        <v>6.0</v>
      </c>
      <c r="G173" s="41" t="s">
        <v>5</v>
      </c>
      <c r="H173" s="42">
        <f>IF($G173="Walkover_Home",Settings!$B$10,IF($G173="Walkover_Away",Settings!$B$11,IF($G173="Cancelled","",IF($E173="","",$E173))))</f>
        <v>6</v>
      </c>
      <c r="I173" s="42">
        <f>IF($G173="Walkover_Home",Settings!$B$11,IF($G173="Walkover_Away",Settings!$B$10,IF($G173="Cancelled","",IF($F173="","",$F173))))</f>
        <v>6</v>
      </c>
      <c r="J173" s="42">
        <f>IF($L173=0,"",IF($G173="Walkover_Home",Settings!$B$7,IF($G173="Walkover_Away",Settings!$B$8,IF($H173&gt;$I173,Settings!$B$3,IF($H173&lt;$I173,Settings!$B$4,Settings!$B$5)))))</f>
        <v>1</v>
      </c>
      <c r="K173" s="42">
        <f>IF($L173=0,"",IF($G173="Walkover_Home",Settings!$B$8,IF($G173="Walkover_Away",Settings!$B$7,IF($I173&gt;$H173,Settings!$B$3,IF($I173&lt;$H173,Settings!$B$4,Settings!$B$5)))))</f>
        <v>1</v>
      </c>
      <c r="L173" s="42">
        <f t="shared" si="2"/>
        <v>1</v>
      </c>
      <c r="M173" s="42">
        <f t="shared" si="3"/>
        <v>0</v>
      </c>
      <c r="N173" s="42">
        <f t="shared" si="4"/>
        <v>1</v>
      </c>
      <c r="O173" s="42">
        <f t="shared" si="5"/>
        <v>0</v>
      </c>
      <c r="P173" s="42">
        <f t="shared" si="6"/>
        <v>0</v>
      </c>
      <c r="Q173" s="42">
        <f t="shared" si="7"/>
        <v>1</v>
      </c>
      <c r="R173" s="42">
        <f t="shared" si="8"/>
        <v>0</v>
      </c>
      <c r="S173" s="43" t="str">
        <f t="shared" si="9"/>
        <v>Draw</v>
      </c>
      <c r="T173" s="41"/>
      <c r="U173" s="28">
        <f t="shared" si="10"/>
        <v>0</v>
      </c>
      <c r="V173" s="28">
        <f t="shared" ref="V173:W173" si="181">IF($L173=0,"",$I173-$H173)</f>
        <v>0</v>
      </c>
      <c r="W173" s="28">
        <f t="shared" si="181"/>
        <v>0</v>
      </c>
      <c r="X173" s="28">
        <f t="shared" si="12"/>
        <v>0</v>
      </c>
      <c r="Y173" s="28"/>
      <c r="Z173" s="28"/>
    </row>
    <row r="174" ht="15.75" customHeight="1">
      <c r="A174" s="38">
        <v>172.0</v>
      </c>
      <c r="B174" s="39">
        <v>46088.0</v>
      </c>
      <c r="C174" s="40" t="s">
        <v>113</v>
      </c>
      <c r="D174" s="40" t="s">
        <v>100</v>
      </c>
      <c r="E174" s="40">
        <v>3.0</v>
      </c>
      <c r="F174" s="40">
        <v>6.0</v>
      </c>
      <c r="G174" s="41" t="s">
        <v>5</v>
      </c>
      <c r="H174" s="42">
        <f>IF($G174="Walkover_Home",Settings!$B$10,IF($G174="Walkover_Away",Settings!$B$11,IF($G174="Cancelled","",IF($E174="","",$E174))))</f>
        <v>3</v>
      </c>
      <c r="I174" s="42">
        <f>IF($G174="Walkover_Home",Settings!$B$11,IF($G174="Walkover_Away",Settings!$B$10,IF($G174="Cancelled","",IF($F174="","",$F174))))</f>
        <v>6</v>
      </c>
      <c r="J174" s="42">
        <f>IF($L174=0,"",IF($G174="Walkover_Home",Settings!$B$7,IF($G174="Walkover_Away",Settings!$B$8,IF($H174&gt;$I174,Settings!$B$3,IF($H174&lt;$I174,Settings!$B$4,Settings!$B$5)))))</f>
        <v>0</v>
      </c>
      <c r="K174" s="42">
        <f>IF($L174=0,"",IF($G174="Walkover_Home",Settings!$B$8,IF($G174="Walkover_Away",Settings!$B$7,IF($I174&gt;$H174,Settings!$B$3,IF($I174&lt;$H174,Settings!$B$4,Settings!$B$5)))))</f>
        <v>3</v>
      </c>
      <c r="L174" s="42">
        <f t="shared" si="2"/>
        <v>1</v>
      </c>
      <c r="M174" s="42">
        <f t="shared" si="3"/>
        <v>0</v>
      </c>
      <c r="N174" s="42">
        <f t="shared" si="4"/>
        <v>0</v>
      </c>
      <c r="O174" s="42">
        <f t="shared" si="5"/>
        <v>1</v>
      </c>
      <c r="P174" s="42">
        <f t="shared" si="6"/>
        <v>1</v>
      </c>
      <c r="Q174" s="42">
        <f t="shared" si="7"/>
        <v>0</v>
      </c>
      <c r="R174" s="42">
        <f t="shared" si="8"/>
        <v>0</v>
      </c>
      <c r="S174" s="43" t="str">
        <f t="shared" si="9"/>
        <v>TACTICAL</v>
      </c>
      <c r="T174" s="41"/>
      <c r="U174" s="28">
        <f t="shared" si="10"/>
        <v>-3</v>
      </c>
      <c r="V174" s="28">
        <f t="shared" ref="V174:W174" si="182">IF($L174=0,"",$I174-$H174)</f>
        <v>3</v>
      </c>
      <c r="W174" s="28">
        <f t="shared" si="182"/>
        <v>3</v>
      </c>
      <c r="X174" s="28">
        <f t="shared" si="12"/>
        <v>-3</v>
      </c>
      <c r="Y174" s="28"/>
      <c r="Z174" s="28"/>
    </row>
    <row r="175" ht="15.75" customHeight="1">
      <c r="A175" s="38">
        <v>173.0</v>
      </c>
      <c r="B175" s="39">
        <v>46088.0</v>
      </c>
      <c r="C175" s="40" t="s">
        <v>101</v>
      </c>
      <c r="D175" s="40" t="s">
        <v>98</v>
      </c>
      <c r="E175" s="40">
        <v>4.0</v>
      </c>
      <c r="F175" s="40">
        <v>5.0</v>
      </c>
      <c r="G175" s="41" t="s">
        <v>5</v>
      </c>
      <c r="H175" s="42">
        <f>IF($G175="Walkover_Home",Settings!$B$10,IF($G175="Walkover_Away",Settings!$B$11,IF($G175="Cancelled","",IF($E175="","",$E175))))</f>
        <v>4</v>
      </c>
      <c r="I175" s="42">
        <f>IF($G175="Walkover_Home",Settings!$B$11,IF($G175="Walkover_Away",Settings!$B$10,IF($G175="Cancelled","",IF($F175="","",$F175))))</f>
        <v>5</v>
      </c>
      <c r="J175" s="42">
        <f>IF($L175=0,"",IF($G175="Walkover_Home",Settings!$B$7,IF($G175="Walkover_Away",Settings!$B$8,IF($H175&gt;$I175,Settings!$B$3,IF($H175&lt;$I175,Settings!$B$4,Settings!$B$5)))))</f>
        <v>0</v>
      </c>
      <c r="K175" s="42">
        <f>IF($L175=0,"",IF($G175="Walkover_Home",Settings!$B$8,IF($G175="Walkover_Away",Settings!$B$7,IF($I175&gt;$H175,Settings!$B$3,IF($I175&lt;$H175,Settings!$B$4,Settings!$B$5)))))</f>
        <v>3</v>
      </c>
      <c r="L175" s="42">
        <f t="shared" si="2"/>
        <v>1</v>
      </c>
      <c r="M175" s="42">
        <f t="shared" si="3"/>
        <v>0</v>
      </c>
      <c r="N175" s="42">
        <f t="shared" si="4"/>
        <v>0</v>
      </c>
      <c r="O175" s="42">
        <f t="shared" si="5"/>
        <v>1</v>
      </c>
      <c r="P175" s="42">
        <f t="shared" si="6"/>
        <v>1</v>
      </c>
      <c r="Q175" s="42">
        <f t="shared" si="7"/>
        <v>0</v>
      </c>
      <c r="R175" s="42">
        <f t="shared" si="8"/>
        <v>0</v>
      </c>
      <c r="S175" s="43" t="str">
        <f t="shared" si="9"/>
        <v>GURU</v>
      </c>
      <c r="T175" s="41"/>
      <c r="U175" s="28">
        <f t="shared" si="10"/>
        <v>-1</v>
      </c>
      <c r="V175" s="28">
        <f t="shared" ref="V175:W175" si="183">IF($L175=0,"",$I175-$H175)</f>
        <v>1</v>
      </c>
      <c r="W175" s="28">
        <f t="shared" si="183"/>
        <v>1</v>
      </c>
      <c r="X175" s="28">
        <f t="shared" si="12"/>
        <v>-1</v>
      </c>
      <c r="Y175" s="28"/>
      <c r="Z175" s="28"/>
    </row>
    <row r="176" ht="15.75" customHeight="1">
      <c r="A176" s="38">
        <v>174.0</v>
      </c>
      <c r="B176" s="39">
        <v>46088.0</v>
      </c>
      <c r="C176" s="40" t="s">
        <v>112</v>
      </c>
      <c r="D176" s="40" t="s">
        <v>114</v>
      </c>
      <c r="E176" s="40">
        <v>1.0</v>
      </c>
      <c r="F176" s="40">
        <v>10.0</v>
      </c>
      <c r="G176" s="41" t="s">
        <v>5</v>
      </c>
      <c r="H176" s="42">
        <f>IF($G176="Walkover_Home",Settings!$B$10,IF($G176="Walkover_Away",Settings!$B$11,IF($G176="Cancelled","",IF($E176="","",$E176))))</f>
        <v>1</v>
      </c>
      <c r="I176" s="42">
        <f>IF($G176="Walkover_Home",Settings!$B$11,IF($G176="Walkover_Away",Settings!$B$10,IF($G176="Cancelled","",IF($F176="","",$F176))))</f>
        <v>10</v>
      </c>
      <c r="J176" s="42">
        <f>IF($L176=0,"",IF($G176="Walkover_Home",Settings!$B$7,IF($G176="Walkover_Away",Settings!$B$8,IF($H176&gt;$I176,Settings!$B$3,IF($H176&lt;$I176,Settings!$B$4,Settings!$B$5)))))</f>
        <v>0</v>
      </c>
      <c r="K176" s="42">
        <f>IF($L176=0,"",IF($G176="Walkover_Home",Settings!$B$8,IF($G176="Walkover_Away",Settings!$B$7,IF($I176&gt;$H176,Settings!$B$3,IF($I176&lt;$H176,Settings!$B$4,Settings!$B$5)))))</f>
        <v>3</v>
      </c>
      <c r="L176" s="42">
        <f t="shared" si="2"/>
        <v>1</v>
      </c>
      <c r="M176" s="42">
        <f t="shared" si="3"/>
        <v>0</v>
      </c>
      <c r="N176" s="42">
        <f t="shared" si="4"/>
        <v>0</v>
      </c>
      <c r="O176" s="42">
        <f t="shared" si="5"/>
        <v>1</v>
      </c>
      <c r="P176" s="42">
        <f t="shared" si="6"/>
        <v>1</v>
      </c>
      <c r="Q176" s="42">
        <f t="shared" si="7"/>
        <v>0</v>
      </c>
      <c r="R176" s="42">
        <f t="shared" si="8"/>
        <v>0</v>
      </c>
      <c r="S176" s="43" t="str">
        <f t="shared" si="9"/>
        <v>KINGNONEX</v>
      </c>
      <c r="T176" s="41"/>
      <c r="U176" s="28">
        <f t="shared" si="10"/>
        <v>-9</v>
      </c>
      <c r="V176" s="28">
        <f t="shared" ref="V176:W176" si="184">IF($L176=0,"",$I176-$H176)</f>
        <v>9</v>
      </c>
      <c r="W176" s="28">
        <f t="shared" si="184"/>
        <v>9</v>
      </c>
      <c r="X176" s="28">
        <f t="shared" si="12"/>
        <v>-9</v>
      </c>
      <c r="Y176" s="28"/>
      <c r="Z176" s="28"/>
    </row>
    <row r="177" ht="15.75" customHeight="1">
      <c r="A177" s="38">
        <v>175.0</v>
      </c>
      <c r="B177" s="39">
        <v>46088.0</v>
      </c>
      <c r="C177" s="40" t="s">
        <v>104</v>
      </c>
      <c r="D177" s="40" t="s">
        <v>100</v>
      </c>
      <c r="E177" s="40">
        <v>4.0</v>
      </c>
      <c r="F177" s="40">
        <v>4.0</v>
      </c>
      <c r="G177" s="41" t="s">
        <v>5</v>
      </c>
      <c r="H177" s="42">
        <f>IF($G177="Walkover_Home",Settings!$B$10,IF($G177="Walkover_Away",Settings!$B$11,IF($G177="Cancelled","",IF($E177="","",$E177))))</f>
        <v>4</v>
      </c>
      <c r="I177" s="42">
        <f>IF($G177="Walkover_Home",Settings!$B$11,IF($G177="Walkover_Away",Settings!$B$10,IF($G177="Cancelled","",IF($F177="","",$F177))))</f>
        <v>4</v>
      </c>
      <c r="J177" s="42">
        <f>IF($L177=0,"",IF($G177="Walkover_Home",Settings!$B$7,IF($G177="Walkover_Away",Settings!$B$8,IF($H177&gt;$I177,Settings!$B$3,IF($H177&lt;$I177,Settings!$B$4,Settings!$B$5)))))</f>
        <v>1</v>
      </c>
      <c r="K177" s="42">
        <f>IF($L177=0,"",IF($G177="Walkover_Home",Settings!$B$8,IF($G177="Walkover_Away",Settings!$B$7,IF($I177&gt;$H177,Settings!$B$3,IF($I177&lt;$H177,Settings!$B$4,Settings!$B$5)))))</f>
        <v>1</v>
      </c>
      <c r="L177" s="42">
        <f t="shared" si="2"/>
        <v>1</v>
      </c>
      <c r="M177" s="42">
        <f t="shared" si="3"/>
        <v>0</v>
      </c>
      <c r="N177" s="42">
        <f t="shared" si="4"/>
        <v>1</v>
      </c>
      <c r="O177" s="42">
        <f t="shared" si="5"/>
        <v>0</v>
      </c>
      <c r="P177" s="42">
        <f t="shared" si="6"/>
        <v>0</v>
      </c>
      <c r="Q177" s="42">
        <f t="shared" si="7"/>
        <v>1</v>
      </c>
      <c r="R177" s="42">
        <f t="shared" si="8"/>
        <v>0</v>
      </c>
      <c r="S177" s="43" t="str">
        <f t="shared" si="9"/>
        <v>Draw</v>
      </c>
      <c r="T177" s="41"/>
      <c r="U177" s="28">
        <f t="shared" si="10"/>
        <v>0</v>
      </c>
      <c r="V177" s="28">
        <f t="shared" ref="V177:W177" si="185">IF($L177=0,"",$I177-$H177)</f>
        <v>0</v>
      </c>
      <c r="W177" s="28">
        <f t="shared" si="185"/>
        <v>0</v>
      </c>
      <c r="X177" s="28">
        <f t="shared" si="12"/>
        <v>0</v>
      </c>
      <c r="Y177" s="28"/>
      <c r="Z177" s="28"/>
    </row>
    <row r="178" ht="15.75" customHeight="1">
      <c r="A178" s="38">
        <v>176.0</v>
      </c>
      <c r="B178" s="39">
        <v>46088.0</v>
      </c>
      <c r="C178" s="40" t="s">
        <v>103</v>
      </c>
      <c r="D178" s="40" t="s">
        <v>111</v>
      </c>
      <c r="E178" s="40">
        <v>3.0</v>
      </c>
      <c r="F178" s="40">
        <v>7.0</v>
      </c>
      <c r="G178" s="41" t="s">
        <v>5</v>
      </c>
      <c r="H178" s="42">
        <f>IF($G178="Walkover_Home",Settings!$B$10,IF($G178="Walkover_Away",Settings!$B$11,IF($G178="Cancelled","",IF($E178="","",$E178))))</f>
        <v>3</v>
      </c>
      <c r="I178" s="42">
        <f>IF($G178="Walkover_Home",Settings!$B$11,IF($G178="Walkover_Away",Settings!$B$10,IF($G178="Cancelled","",IF($F178="","",$F178))))</f>
        <v>7</v>
      </c>
      <c r="J178" s="42">
        <f>IF($L178=0,"",IF($G178="Walkover_Home",Settings!$B$7,IF($G178="Walkover_Away",Settings!$B$8,IF($H178&gt;$I178,Settings!$B$3,IF($H178&lt;$I178,Settings!$B$4,Settings!$B$5)))))</f>
        <v>0</v>
      </c>
      <c r="K178" s="42">
        <f>IF($L178=0,"",IF($G178="Walkover_Home",Settings!$B$8,IF($G178="Walkover_Away",Settings!$B$7,IF($I178&gt;$H178,Settings!$B$3,IF($I178&lt;$H178,Settings!$B$4,Settings!$B$5)))))</f>
        <v>3</v>
      </c>
      <c r="L178" s="42">
        <f t="shared" si="2"/>
        <v>1</v>
      </c>
      <c r="M178" s="42">
        <f t="shared" si="3"/>
        <v>0</v>
      </c>
      <c r="N178" s="42">
        <f t="shared" si="4"/>
        <v>0</v>
      </c>
      <c r="O178" s="42">
        <f t="shared" si="5"/>
        <v>1</v>
      </c>
      <c r="P178" s="42">
        <f t="shared" si="6"/>
        <v>1</v>
      </c>
      <c r="Q178" s="42">
        <f t="shared" si="7"/>
        <v>0</v>
      </c>
      <c r="R178" s="42">
        <f t="shared" si="8"/>
        <v>0</v>
      </c>
      <c r="S178" s="43" t="str">
        <f t="shared" si="9"/>
        <v>DRACARYS</v>
      </c>
      <c r="T178" s="41"/>
      <c r="U178" s="28">
        <f t="shared" si="10"/>
        <v>-4</v>
      </c>
      <c r="V178" s="28">
        <f t="shared" ref="V178:W178" si="186">IF($L178=0,"",$I178-$H178)</f>
        <v>4</v>
      </c>
      <c r="W178" s="28">
        <f t="shared" si="186"/>
        <v>4</v>
      </c>
      <c r="X178" s="28">
        <f t="shared" si="12"/>
        <v>-4</v>
      </c>
      <c r="Y178" s="28"/>
      <c r="Z178" s="28"/>
    </row>
    <row r="179" ht="15.75" customHeight="1">
      <c r="A179" s="38">
        <v>177.0</v>
      </c>
      <c r="B179" s="39">
        <v>46088.0</v>
      </c>
      <c r="C179" s="40" t="s">
        <v>101</v>
      </c>
      <c r="D179" s="40" t="s">
        <v>99</v>
      </c>
      <c r="E179" s="40">
        <v>3.0</v>
      </c>
      <c r="F179" s="40">
        <v>4.0</v>
      </c>
      <c r="G179" s="41" t="s">
        <v>5</v>
      </c>
      <c r="H179" s="42">
        <f>IF($G179="Walkover_Home",Settings!$B$10,IF($G179="Walkover_Away",Settings!$B$11,IF($G179="Cancelled","",IF($E179="","",$E179))))</f>
        <v>3</v>
      </c>
      <c r="I179" s="42">
        <f>IF($G179="Walkover_Home",Settings!$B$11,IF($G179="Walkover_Away",Settings!$B$10,IF($G179="Cancelled","",IF($F179="","",$F179))))</f>
        <v>4</v>
      </c>
      <c r="J179" s="42">
        <f>IF($L179=0,"",IF($G179="Walkover_Home",Settings!$B$7,IF($G179="Walkover_Away",Settings!$B$8,IF($H179&gt;$I179,Settings!$B$3,IF($H179&lt;$I179,Settings!$B$4,Settings!$B$5)))))</f>
        <v>0</v>
      </c>
      <c r="K179" s="42">
        <f>IF($L179=0,"",IF($G179="Walkover_Home",Settings!$B$8,IF($G179="Walkover_Away",Settings!$B$7,IF($I179&gt;$H179,Settings!$B$3,IF($I179&lt;$H179,Settings!$B$4,Settings!$B$5)))))</f>
        <v>3</v>
      </c>
      <c r="L179" s="42">
        <f t="shared" si="2"/>
        <v>1</v>
      </c>
      <c r="M179" s="42">
        <f t="shared" si="3"/>
        <v>0</v>
      </c>
      <c r="N179" s="42">
        <f t="shared" si="4"/>
        <v>0</v>
      </c>
      <c r="O179" s="42">
        <f t="shared" si="5"/>
        <v>1</v>
      </c>
      <c r="P179" s="42">
        <f t="shared" si="6"/>
        <v>1</v>
      </c>
      <c r="Q179" s="42">
        <f t="shared" si="7"/>
        <v>0</v>
      </c>
      <c r="R179" s="42">
        <f t="shared" si="8"/>
        <v>0</v>
      </c>
      <c r="S179" s="43" t="str">
        <f t="shared" si="9"/>
        <v>KAYKAY</v>
      </c>
      <c r="T179" s="41"/>
      <c r="U179" s="28">
        <f t="shared" si="10"/>
        <v>-1</v>
      </c>
      <c r="V179" s="28">
        <f t="shared" ref="V179:W179" si="187">IF($L179=0,"",$I179-$H179)</f>
        <v>1</v>
      </c>
      <c r="W179" s="28">
        <f t="shared" si="187"/>
        <v>1</v>
      </c>
      <c r="X179" s="28">
        <f t="shared" si="12"/>
        <v>-1</v>
      </c>
      <c r="Y179" s="28"/>
      <c r="Z179" s="28"/>
    </row>
    <row r="180" ht="15.75" customHeight="1">
      <c r="A180" s="38">
        <v>178.0</v>
      </c>
      <c r="B180" s="39">
        <v>46088.0</v>
      </c>
      <c r="C180" s="40" t="s">
        <v>97</v>
      </c>
      <c r="D180" s="40" t="s">
        <v>99</v>
      </c>
      <c r="E180" s="41"/>
      <c r="F180" s="41"/>
      <c r="G180" s="40" t="s">
        <v>90</v>
      </c>
      <c r="H180" s="42">
        <f>IF($G180="Walkover_Home",Settings!$B$10,IF($G180="Walkover_Away",Settings!$B$11,IF($G180="Cancelled","",IF($E180="","",$E180))))</f>
        <v>0</v>
      </c>
      <c r="I180" s="42">
        <f>IF($G180="Walkover_Home",Settings!$B$11,IF($G180="Walkover_Away",Settings!$B$10,IF($G180="Cancelled","",IF($F180="","",$F180))))</f>
        <v>3</v>
      </c>
      <c r="J180" s="42">
        <f>IF($L180=0,"",IF($G180="Walkover_Home",Settings!$B$7,IF($G180="Walkover_Away",Settings!$B$8,IF($H180&gt;$I180,Settings!$B$3,IF($H180&lt;$I180,Settings!$B$4,Settings!$B$5)))))</f>
        <v>0</v>
      </c>
      <c r="K180" s="42">
        <f>IF($L180=0,"",IF($G180="Walkover_Home",Settings!$B$8,IF($G180="Walkover_Away",Settings!$B$7,IF($I180&gt;$H180,Settings!$B$3,IF($I180&lt;$H180,Settings!$B$4,Settings!$B$5)))))</f>
        <v>3</v>
      </c>
      <c r="L180" s="42">
        <f t="shared" si="2"/>
        <v>1</v>
      </c>
      <c r="M180" s="42">
        <f t="shared" si="3"/>
        <v>0</v>
      </c>
      <c r="N180" s="42">
        <f t="shared" si="4"/>
        <v>0</v>
      </c>
      <c r="O180" s="42">
        <f t="shared" si="5"/>
        <v>1</v>
      </c>
      <c r="P180" s="42">
        <f t="shared" si="6"/>
        <v>1</v>
      </c>
      <c r="Q180" s="42">
        <f t="shared" si="7"/>
        <v>0</v>
      </c>
      <c r="R180" s="42">
        <f t="shared" si="8"/>
        <v>0</v>
      </c>
      <c r="S180" s="43" t="str">
        <f t="shared" si="9"/>
        <v>KAYKAY</v>
      </c>
      <c r="T180" s="41"/>
      <c r="U180" s="28">
        <f t="shared" si="10"/>
        <v>-3</v>
      </c>
      <c r="V180" s="28">
        <f t="shared" ref="V180:W180" si="188">IF($L180=0,"",$I180-$H180)</f>
        <v>3</v>
      </c>
      <c r="W180" s="28">
        <f t="shared" si="188"/>
        <v>3</v>
      </c>
      <c r="X180" s="28">
        <f t="shared" si="12"/>
        <v>-3</v>
      </c>
      <c r="Y180" s="28"/>
      <c r="Z180" s="28"/>
    </row>
    <row r="181" ht="15.75" customHeight="1">
      <c r="A181" s="38">
        <v>179.0</v>
      </c>
      <c r="B181" s="39">
        <v>46089.0</v>
      </c>
      <c r="C181" s="40" t="s">
        <v>97</v>
      </c>
      <c r="D181" s="40" t="s">
        <v>109</v>
      </c>
      <c r="E181" s="41"/>
      <c r="F181" s="41"/>
      <c r="G181" s="40" t="s">
        <v>90</v>
      </c>
      <c r="H181" s="42">
        <f>IF($G181="Walkover_Home",Settings!$B$10,IF($G181="Walkover_Away",Settings!$B$11,IF($G181="Cancelled","",IF($E181="","",$E181))))</f>
        <v>0</v>
      </c>
      <c r="I181" s="42">
        <f>IF($G181="Walkover_Home",Settings!$B$11,IF($G181="Walkover_Away",Settings!$B$10,IF($G181="Cancelled","",IF($F181="","",$F181))))</f>
        <v>3</v>
      </c>
      <c r="J181" s="42">
        <f>IF($L181=0,"",IF($G181="Walkover_Home",Settings!$B$7,IF($G181="Walkover_Away",Settings!$B$8,IF($H181&gt;$I181,Settings!$B$3,IF($H181&lt;$I181,Settings!$B$4,Settings!$B$5)))))</f>
        <v>0</v>
      </c>
      <c r="K181" s="42">
        <f>IF($L181=0,"",IF($G181="Walkover_Home",Settings!$B$8,IF($G181="Walkover_Away",Settings!$B$7,IF($I181&gt;$H181,Settings!$B$3,IF($I181&lt;$H181,Settings!$B$4,Settings!$B$5)))))</f>
        <v>3</v>
      </c>
      <c r="L181" s="42">
        <f t="shared" si="2"/>
        <v>1</v>
      </c>
      <c r="M181" s="42">
        <f t="shared" si="3"/>
        <v>0</v>
      </c>
      <c r="N181" s="42">
        <f t="shared" si="4"/>
        <v>0</v>
      </c>
      <c r="O181" s="42">
        <f t="shared" si="5"/>
        <v>1</v>
      </c>
      <c r="P181" s="42">
        <f t="shared" si="6"/>
        <v>1</v>
      </c>
      <c r="Q181" s="42">
        <f t="shared" si="7"/>
        <v>0</v>
      </c>
      <c r="R181" s="42">
        <f t="shared" si="8"/>
        <v>0</v>
      </c>
      <c r="S181" s="43" t="str">
        <f t="shared" si="9"/>
        <v>DADABOI</v>
      </c>
      <c r="T181" s="41"/>
      <c r="U181" s="28">
        <f t="shared" si="10"/>
        <v>-3</v>
      </c>
      <c r="V181" s="28">
        <f t="shared" ref="V181:W181" si="189">IF($L181=0,"",$I181-$H181)</f>
        <v>3</v>
      </c>
      <c r="W181" s="28">
        <f t="shared" si="189"/>
        <v>3</v>
      </c>
      <c r="X181" s="28">
        <f t="shared" si="12"/>
        <v>-3</v>
      </c>
      <c r="Y181" s="28"/>
      <c r="Z181" s="28"/>
    </row>
    <row r="182" ht="15.75" customHeight="1">
      <c r="A182" s="38">
        <v>180.0</v>
      </c>
      <c r="B182" s="39">
        <v>46089.0</v>
      </c>
      <c r="C182" s="40" t="s">
        <v>111</v>
      </c>
      <c r="D182" s="40" t="s">
        <v>100</v>
      </c>
      <c r="E182" s="40">
        <v>6.0</v>
      </c>
      <c r="F182" s="40">
        <v>5.0</v>
      </c>
      <c r="G182" s="41" t="s">
        <v>5</v>
      </c>
      <c r="H182" s="42">
        <f>IF($G182="Walkover_Home",Settings!$B$10,IF($G182="Walkover_Away",Settings!$B$11,IF($G182="Cancelled","",IF($E182="","",$E182))))</f>
        <v>6</v>
      </c>
      <c r="I182" s="42">
        <f>IF($G182="Walkover_Home",Settings!$B$11,IF($G182="Walkover_Away",Settings!$B$10,IF($G182="Cancelled","",IF($F182="","",$F182))))</f>
        <v>5</v>
      </c>
      <c r="J182" s="42">
        <f>IF($L182=0,"",IF($G182="Walkover_Home",Settings!$B$7,IF($G182="Walkover_Away",Settings!$B$8,IF($H182&gt;$I182,Settings!$B$3,IF($H182&lt;$I182,Settings!$B$4,Settings!$B$5)))))</f>
        <v>3</v>
      </c>
      <c r="K182" s="42">
        <f>IF($L182=0,"",IF($G182="Walkover_Home",Settings!$B$8,IF($G182="Walkover_Away",Settings!$B$7,IF($I182&gt;$H182,Settings!$B$3,IF($I182&lt;$H182,Settings!$B$4,Settings!$B$5)))))</f>
        <v>0</v>
      </c>
      <c r="L182" s="42">
        <f t="shared" si="2"/>
        <v>1</v>
      </c>
      <c r="M182" s="42">
        <f t="shared" si="3"/>
        <v>1</v>
      </c>
      <c r="N182" s="42">
        <f t="shared" si="4"/>
        <v>0</v>
      </c>
      <c r="O182" s="42">
        <f t="shared" si="5"/>
        <v>0</v>
      </c>
      <c r="P182" s="42">
        <f t="shared" si="6"/>
        <v>0</v>
      </c>
      <c r="Q182" s="42">
        <f t="shared" si="7"/>
        <v>0</v>
      </c>
      <c r="R182" s="42">
        <f t="shared" si="8"/>
        <v>1</v>
      </c>
      <c r="S182" s="43" t="str">
        <f t="shared" si="9"/>
        <v>DRACARYS</v>
      </c>
      <c r="T182" s="41"/>
      <c r="U182" s="28">
        <f t="shared" si="10"/>
        <v>1</v>
      </c>
      <c r="V182" s="28">
        <f t="shared" ref="V182:W182" si="190">IF($L182=0,"",$I182-$H182)</f>
        <v>-1</v>
      </c>
      <c r="W182" s="28">
        <f t="shared" si="190"/>
        <v>-1</v>
      </c>
      <c r="X182" s="28">
        <f t="shared" si="12"/>
        <v>1</v>
      </c>
      <c r="Y182" s="28"/>
      <c r="Z182" s="28"/>
    </row>
    <row r="183" ht="15.75" customHeight="1">
      <c r="A183" s="38">
        <v>181.0</v>
      </c>
      <c r="B183" s="39">
        <v>46089.0</v>
      </c>
      <c r="C183" s="40" t="s">
        <v>102</v>
      </c>
      <c r="D183" s="40" t="s">
        <v>96</v>
      </c>
      <c r="E183" s="41"/>
      <c r="F183" s="41"/>
      <c r="G183" s="40" t="s">
        <v>90</v>
      </c>
      <c r="H183" s="42">
        <f>IF($G183="Walkover_Home",Settings!$B$10,IF($G183="Walkover_Away",Settings!$B$11,IF($G183="Cancelled","",IF($E183="","",$E183))))</f>
        <v>0</v>
      </c>
      <c r="I183" s="42">
        <f>IF($G183="Walkover_Home",Settings!$B$11,IF($G183="Walkover_Away",Settings!$B$10,IF($G183="Cancelled","",IF($F183="","",$F183))))</f>
        <v>3</v>
      </c>
      <c r="J183" s="42">
        <f>IF($L183=0,"",IF($G183="Walkover_Home",Settings!$B$7,IF($G183="Walkover_Away",Settings!$B$8,IF($H183&gt;$I183,Settings!$B$3,IF($H183&lt;$I183,Settings!$B$4,Settings!$B$5)))))</f>
        <v>0</v>
      </c>
      <c r="K183" s="42">
        <f>IF($L183=0,"",IF($G183="Walkover_Home",Settings!$B$8,IF($G183="Walkover_Away",Settings!$B$7,IF($I183&gt;$H183,Settings!$B$3,IF($I183&lt;$H183,Settings!$B$4,Settings!$B$5)))))</f>
        <v>3</v>
      </c>
      <c r="L183" s="42">
        <f t="shared" si="2"/>
        <v>1</v>
      </c>
      <c r="M183" s="42">
        <f t="shared" si="3"/>
        <v>0</v>
      </c>
      <c r="N183" s="42">
        <f t="shared" si="4"/>
        <v>0</v>
      </c>
      <c r="O183" s="42">
        <f t="shared" si="5"/>
        <v>1</v>
      </c>
      <c r="P183" s="42">
        <f t="shared" si="6"/>
        <v>1</v>
      </c>
      <c r="Q183" s="42">
        <f t="shared" si="7"/>
        <v>0</v>
      </c>
      <c r="R183" s="42">
        <f t="shared" si="8"/>
        <v>0</v>
      </c>
      <c r="S183" s="43" t="str">
        <f t="shared" si="9"/>
        <v>ANIFE</v>
      </c>
      <c r="T183" s="41"/>
      <c r="U183" s="28">
        <f t="shared" si="10"/>
        <v>-3</v>
      </c>
      <c r="V183" s="28">
        <f t="shared" ref="V183:W183" si="191">IF($L183=0,"",$I183-$H183)</f>
        <v>3</v>
      </c>
      <c r="W183" s="28">
        <f t="shared" si="191"/>
        <v>3</v>
      </c>
      <c r="X183" s="28">
        <f t="shared" si="12"/>
        <v>-3</v>
      </c>
      <c r="Y183" s="28"/>
      <c r="Z183" s="28"/>
    </row>
    <row r="184" ht="15.75" customHeight="1">
      <c r="A184" s="38">
        <v>182.0</v>
      </c>
      <c r="B184" s="39">
        <v>46089.0</v>
      </c>
      <c r="C184" s="40" t="s">
        <v>98</v>
      </c>
      <c r="D184" s="40" t="s">
        <v>108</v>
      </c>
      <c r="E184" s="40">
        <v>7.0</v>
      </c>
      <c r="F184" s="40">
        <v>5.0</v>
      </c>
      <c r="G184" s="41" t="s">
        <v>5</v>
      </c>
      <c r="H184" s="42">
        <f>IF($G184="Walkover_Home",Settings!$B$10,IF($G184="Walkover_Away",Settings!$B$11,IF($G184="Cancelled","",IF($E184="","",$E184))))</f>
        <v>7</v>
      </c>
      <c r="I184" s="42">
        <f>IF($G184="Walkover_Home",Settings!$B$11,IF($G184="Walkover_Away",Settings!$B$10,IF($G184="Cancelled","",IF($F184="","",$F184))))</f>
        <v>5</v>
      </c>
      <c r="J184" s="42">
        <f>IF($L184=0,"",IF($G184="Walkover_Home",Settings!$B$7,IF($G184="Walkover_Away",Settings!$B$8,IF($H184&gt;$I184,Settings!$B$3,IF($H184&lt;$I184,Settings!$B$4,Settings!$B$5)))))</f>
        <v>3</v>
      </c>
      <c r="K184" s="42">
        <f>IF($L184=0,"",IF($G184="Walkover_Home",Settings!$B$8,IF($G184="Walkover_Away",Settings!$B$7,IF($I184&gt;$H184,Settings!$B$3,IF($I184&lt;$H184,Settings!$B$4,Settings!$B$5)))))</f>
        <v>0</v>
      </c>
      <c r="L184" s="42">
        <f t="shared" si="2"/>
        <v>1</v>
      </c>
      <c r="M184" s="42">
        <f t="shared" si="3"/>
        <v>1</v>
      </c>
      <c r="N184" s="42">
        <f t="shared" si="4"/>
        <v>0</v>
      </c>
      <c r="O184" s="42">
        <f t="shared" si="5"/>
        <v>0</v>
      </c>
      <c r="P184" s="42">
        <f t="shared" si="6"/>
        <v>0</v>
      </c>
      <c r="Q184" s="42">
        <f t="shared" si="7"/>
        <v>0</v>
      </c>
      <c r="R184" s="42">
        <f t="shared" si="8"/>
        <v>1</v>
      </c>
      <c r="S184" s="43" t="str">
        <f t="shared" si="9"/>
        <v>GURU</v>
      </c>
      <c r="T184" s="41"/>
      <c r="U184" s="28">
        <f t="shared" si="10"/>
        <v>2</v>
      </c>
      <c r="V184" s="28">
        <f t="shared" ref="V184:W184" si="192">IF($L184=0,"",$I184-$H184)</f>
        <v>-2</v>
      </c>
      <c r="W184" s="28">
        <f t="shared" si="192"/>
        <v>-2</v>
      </c>
      <c r="X184" s="28">
        <f t="shared" si="12"/>
        <v>2</v>
      </c>
      <c r="Y184" s="28"/>
      <c r="Z184" s="28"/>
    </row>
    <row r="185" ht="15.75" customHeight="1">
      <c r="A185" s="38">
        <v>183.0</v>
      </c>
      <c r="B185" s="39">
        <v>46089.0</v>
      </c>
      <c r="C185" s="40" t="s">
        <v>112</v>
      </c>
      <c r="D185" s="40" t="s">
        <v>113</v>
      </c>
      <c r="E185" s="40">
        <v>5.0</v>
      </c>
      <c r="F185" s="40">
        <v>4.0</v>
      </c>
      <c r="G185" s="41" t="s">
        <v>5</v>
      </c>
      <c r="H185" s="42">
        <f>IF($G185="Walkover_Home",Settings!$B$10,IF($G185="Walkover_Away",Settings!$B$11,IF($G185="Cancelled","",IF($E185="","",$E185))))</f>
        <v>5</v>
      </c>
      <c r="I185" s="42">
        <f>IF($G185="Walkover_Home",Settings!$B$11,IF($G185="Walkover_Away",Settings!$B$10,IF($G185="Cancelled","",IF($F185="","",$F185))))</f>
        <v>4</v>
      </c>
      <c r="J185" s="42">
        <f>IF($L185=0,"",IF($G185="Walkover_Home",Settings!$B$7,IF($G185="Walkover_Away",Settings!$B$8,IF($H185&gt;$I185,Settings!$B$3,IF($H185&lt;$I185,Settings!$B$4,Settings!$B$5)))))</f>
        <v>3</v>
      </c>
      <c r="K185" s="42">
        <f>IF($L185=0,"",IF($G185="Walkover_Home",Settings!$B$8,IF($G185="Walkover_Away",Settings!$B$7,IF($I185&gt;$H185,Settings!$B$3,IF($I185&lt;$H185,Settings!$B$4,Settings!$B$5)))))</f>
        <v>0</v>
      </c>
      <c r="L185" s="42">
        <f t="shared" si="2"/>
        <v>1</v>
      </c>
      <c r="M185" s="42">
        <f t="shared" si="3"/>
        <v>1</v>
      </c>
      <c r="N185" s="42">
        <f t="shared" si="4"/>
        <v>0</v>
      </c>
      <c r="O185" s="42">
        <f t="shared" si="5"/>
        <v>0</v>
      </c>
      <c r="P185" s="42">
        <f t="shared" si="6"/>
        <v>0</v>
      </c>
      <c r="Q185" s="42">
        <f t="shared" si="7"/>
        <v>0</v>
      </c>
      <c r="R185" s="42">
        <f t="shared" si="8"/>
        <v>1</v>
      </c>
      <c r="S185" s="43" t="str">
        <f t="shared" si="9"/>
        <v>FLICK</v>
      </c>
      <c r="T185" s="41"/>
      <c r="U185" s="28">
        <f t="shared" si="10"/>
        <v>1</v>
      </c>
      <c r="V185" s="28">
        <f t="shared" ref="V185:W185" si="193">IF($L185=0,"",$I185-$H185)</f>
        <v>-1</v>
      </c>
      <c r="W185" s="28">
        <f t="shared" si="193"/>
        <v>-1</v>
      </c>
      <c r="X185" s="28">
        <f t="shared" si="12"/>
        <v>1</v>
      </c>
      <c r="Y185" s="28"/>
      <c r="Z185" s="28"/>
    </row>
    <row r="186" ht="15.75" customHeight="1">
      <c r="A186" s="38">
        <v>184.0</v>
      </c>
      <c r="B186" s="39">
        <v>46089.0</v>
      </c>
      <c r="C186" s="40" t="s">
        <v>101</v>
      </c>
      <c r="D186" s="40" t="s">
        <v>95</v>
      </c>
      <c r="E186" s="40">
        <v>6.0</v>
      </c>
      <c r="F186" s="40">
        <v>6.0</v>
      </c>
      <c r="G186" s="41" t="s">
        <v>5</v>
      </c>
      <c r="H186" s="42">
        <f>IF($G186="Walkover_Home",Settings!$B$10,IF($G186="Walkover_Away",Settings!$B$11,IF($G186="Cancelled","",IF($E186="","",$E186))))</f>
        <v>6</v>
      </c>
      <c r="I186" s="42">
        <f>IF($G186="Walkover_Home",Settings!$B$11,IF($G186="Walkover_Away",Settings!$B$10,IF($G186="Cancelled","",IF($F186="","",$F186))))</f>
        <v>6</v>
      </c>
      <c r="J186" s="42">
        <f>IF($L186=0,"",IF($G186="Walkover_Home",Settings!$B$7,IF($G186="Walkover_Away",Settings!$B$8,IF($H186&gt;$I186,Settings!$B$3,IF($H186&lt;$I186,Settings!$B$4,Settings!$B$5)))))</f>
        <v>1</v>
      </c>
      <c r="K186" s="42">
        <f>IF($L186=0,"",IF($G186="Walkover_Home",Settings!$B$8,IF($G186="Walkover_Away",Settings!$B$7,IF($I186&gt;$H186,Settings!$B$3,IF($I186&lt;$H186,Settings!$B$4,Settings!$B$5)))))</f>
        <v>1</v>
      </c>
      <c r="L186" s="42">
        <f t="shared" si="2"/>
        <v>1</v>
      </c>
      <c r="M186" s="42">
        <f t="shared" si="3"/>
        <v>0</v>
      </c>
      <c r="N186" s="42">
        <f t="shared" si="4"/>
        <v>1</v>
      </c>
      <c r="O186" s="42">
        <f t="shared" si="5"/>
        <v>0</v>
      </c>
      <c r="P186" s="42">
        <f t="shared" si="6"/>
        <v>0</v>
      </c>
      <c r="Q186" s="42">
        <f t="shared" si="7"/>
        <v>1</v>
      </c>
      <c r="R186" s="42">
        <f t="shared" si="8"/>
        <v>0</v>
      </c>
      <c r="S186" s="43" t="str">
        <f t="shared" si="9"/>
        <v>Draw</v>
      </c>
      <c r="T186" s="41"/>
      <c r="U186" s="28">
        <f t="shared" si="10"/>
        <v>0</v>
      </c>
      <c r="V186" s="28">
        <f t="shared" ref="V186:W186" si="194">IF($L186=0,"",$I186-$H186)</f>
        <v>0</v>
      </c>
      <c r="W186" s="28">
        <f t="shared" si="194"/>
        <v>0</v>
      </c>
      <c r="X186" s="28">
        <f t="shared" si="12"/>
        <v>0</v>
      </c>
      <c r="Y186" s="28"/>
      <c r="Z186" s="28"/>
    </row>
    <row r="187" ht="15.75" customHeight="1">
      <c r="A187" s="38">
        <v>185.0</v>
      </c>
      <c r="B187" s="39">
        <v>46089.0</v>
      </c>
      <c r="C187" s="40" t="s">
        <v>110</v>
      </c>
      <c r="D187" s="40" t="s">
        <v>106</v>
      </c>
      <c r="E187" s="41"/>
      <c r="F187" s="41"/>
      <c r="G187" s="40" t="s">
        <v>89</v>
      </c>
      <c r="H187" s="42">
        <f>IF($G187="Walkover_Home",Settings!$B$10,IF($G187="Walkover_Away",Settings!$B$11,IF($G187="Cancelled","",IF($E187="","",$E187))))</f>
        <v>3</v>
      </c>
      <c r="I187" s="42">
        <f>IF($G187="Walkover_Home",Settings!$B$11,IF($G187="Walkover_Away",Settings!$B$10,IF($G187="Cancelled","",IF($F187="","",$F187))))</f>
        <v>0</v>
      </c>
      <c r="J187" s="42">
        <f>IF($L187=0,"",IF($G187="Walkover_Home",Settings!$B$7,IF($G187="Walkover_Away",Settings!$B$8,IF($H187&gt;$I187,Settings!$B$3,IF($H187&lt;$I187,Settings!$B$4,Settings!$B$5)))))</f>
        <v>3</v>
      </c>
      <c r="K187" s="42">
        <f>IF($L187=0,"",IF($G187="Walkover_Home",Settings!$B$8,IF($G187="Walkover_Away",Settings!$B$7,IF($I187&gt;$H187,Settings!$B$3,IF($I187&lt;$H187,Settings!$B$4,Settings!$B$5)))))</f>
        <v>0</v>
      </c>
      <c r="L187" s="42">
        <f t="shared" si="2"/>
        <v>1</v>
      </c>
      <c r="M187" s="42">
        <f t="shared" si="3"/>
        <v>1</v>
      </c>
      <c r="N187" s="42">
        <f t="shared" si="4"/>
        <v>0</v>
      </c>
      <c r="O187" s="42">
        <f t="shared" si="5"/>
        <v>0</v>
      </c>
      <c r="P187" s="42">
        <f t="shared" si="6"/>
        <v>0</v>
      </c>
      <c r="Q187" s="42">
        <f t="shared" si="7"/>
        <v>0</v>
      </c>
      <c r="R187" s="42">
        <f t="shared" si="8"/>
        <v>1</v>
      </c>
      <c r="S187" s="43" t="str">
        <f t="shared" si="9"/>
        <v>SON OF GOD</v>
      </c>
      <c r="T187" s="41"/>
      <c r="U187" s="28">
        <f t="shared" si="10"/>
        <v>3</v>
      </c>
      <c r="V187" s="28">
        <f t="shared" ref="V187:W187" si="195">IF($L187=0,"",$I187-$H187)</f>
        <v>-3</v>
      </c>
      <c r="W187" s="28">
        <f t="shared" si="195"/>
        <v>-3</v>
      </c>
      <c r="X187" s="28">
        <f t="shared" si="12"/>
        <v>3</v>
      </c>
      <c r="Y187" s="28"/>
      <c r="Z187" s="28"/>
    </row>
    <row r="188" ht="15.75" customHeight="1">
      <c r="A188" s="38">
        <v>186.0</v>
      </c>
      <c r="B188" s="39">
        <v>46089.0</v>
      </c>
      <c r="C188" s="40" t="s">
        <v>107</v>
      </c>
      <c r="D188" s="40" t="s">
        <v>103</v>
      </c>
      <c r="E188" s="41"/>
      <c r="F188" s="41"/>
      <c r="G188" s="40" t="s">
        <v>90</v>
      </c>
      <c r="H188" s="42">
        <f>IF($G188="Walkover_Home",Settings!$B$10,IF($G188="Walkover_Away",Settings!$B$11,IF($G188="Cancelled","",IF($E188="","",$E188))))</f>
        <v>0</v>
      </c>
      <c r="I188" s="42">
        <f>IF($G188="Walkover_Home",Settings!$B$11,IF($G188="Walkover_Away",Settings!$B$10,IF($G188="Cancelled","",IF($F188="","",$F188))))</f>
        <v>3</v>
      </c>
      <c r="J188" s="42">
        <f>IF($L188=0,"",IF($G188="Walkover_Home",Settings!$B$7,IF($G188="Walkover_Away",Settings!$B$8,IF($H188&gt;$I188,Settings!$B$3,IF($H188&lt;$I188,Settings!$B$4,Settings!$B$5)))))</f>
        <v>0</v>
      </c>
      <c r="K188" s="42">
        <f>IF($L188=0,"",IF($G188="Walkover_Home",Settings!$B$8,IF($G188="Walkover_Away",Settings!$B$7,IF($I188&gt;$H188,Settings!$B$3,IF($I188&lt;$H188,Settings!$B$4,Settings!$B$5)))))</f>
        <v>3</v>
      </c>
      <c r="L188" s="42">
        <f t="shared" si="2"/>
        <v>1</v>
      </c>
      <c r="M188" s="42">
        <f t="shared" si="3"/>
        <v>0</v>
      </c>
      <c r="N188" s="42">
        <f t="shared" si="4"/>
        <v>0</v>
      </c>
      <c r="O188" s="42">
        <f t="shared" si="5"/>
        <v>1</v>
      </c>
      <c r="P188" s="42">
        <f t="shared" si="6"/>
        <v>1</v>
      </c>
      <c r="Q188" s="42">
        <f t="shared" si="7"/>
        <v>0</v>
      </c>
      <c r="R188" s="42">
        <f t="shared" si="8"/>
        <v>0</v>
      </c>
      <c r="S188" s="43" t="str">
        <f t="shared" si="9"/>
        <v>BALO K</v>
      </c>
      <c r="T188" s="41"/>
      <c r="U188" s="28">
        <f t="shared" si="10"/>
        <v>-3</v>
      </c>
      <c r="V188" s="28">
        <f t="shared" ref="V188:W188" si="196">IF($L188=0,"",$I188-$H188)</f>
        <v>3</v>
      </c>
      <c r="W188" s="28">
        <f t="shared" si="196"/>
        <v>3</v>
      </c>
      <c r="X188" s="28">
        <f t="shared" si="12"/>
        <v>-3</v>
      </c>
      <c r="Y188" s="28"/>
      <c r="Z188" s="28"/>
    </row>
    <row r="189" ht="15.75" customHeight="1">
      <c r="A189" s="38">
        <v>187.0</v>
      </c>
      <c r="B189" s="39">
        <v>46089.0</v>
      </c>
      <c r="C189" s="40" t="s">
        <v>108</v>
      </c>
      <c r="D189" s="40" t="s">
        <v>106</v>
      </c>
      <c r="E189" s="40">
        <v>5.0</v>
      </c>
      <c r="F189" s="40">
        <v>6.0</v>
      </c>
      <c r="G189" s="41" t="s">
        <v>5</v>
      </c>
      <c r="H189" s="42">
        <f>IF($G189="Walkover_Home",Settings!$B$10,IF($G189="Walkover_Away",Settings!$B$11,IF($G189="Cancelled","",IF($E189="","",$E189))))</f>
        <v>5</v>
      </c>
      <c r="I189" s="42">
        <f>IF($G189="Walkover_Home",Settings!$B$11,IF($G189="Walkover_Away",Settings!$B$10,IF($G189="Cancelled","",IF($F189="","",$F189))))</f>
        <v>6</v>
      </c>
      <c r="J189" s="42">
        <f>IF($L189=0,"",IF($G189="Walkover_Home",Settings!$B$7,IF($G189="Walkover_Away",Settings!$B$8,IF($H189&gt;$I189,Settings!$B$3,IF($H189&lt;$I189,Settings!$B$4,Settings!$B$5)))))</f>
        <v>0</v>
      </c>
      <c r="K189" s="42">
        <f>IF($L189=0,"",IF($G189="Walkover_Home",Settings!$B$8,IF($G189="Walkover_Away",Settings!$B$7,IF($I189&gt;$H189,Settings!$B$3,IF($I189&lt;$H189,Settings!$B$4,Settings!$B$5)))))</f>
        <v>3</v>
      </c>
      <c r="L189" s="42">
        <f t="shared" si="2"/>
        <v>1</v>
      </c>
      <c r="M189" s="42">
        <f t="shared" si="3"/>
        <v>0</v>
      </c>
      <c r="N189" s="42">
        <f t="shared" si="4"/>
        <v>0</v>
      </c>
      <c r="O189" s="42">
        <f t="shared" si="5"/>
        <v>1</v>
      </c>
      <c r="P189" s="42">
        <f t="shared" si="6"/>
        <v>1</v>
      </c>
      <c r="Q189" s="42">
        <f t="shared" si="7"/>
        <v>0</v>
      </c>
      <c r="R189" s="42">
        <f t="shared" si="8"/>
        <v>0</v>
      </c>
      <c r="S189" s="43" t="str">
        <f t="shared" si="9"/>
        <v>SIMPLYY UZO</v>
      </c>
      <c r="T189" s="41"/>
      <c r="U189" s="28">
        <f t="shared" si="10"/>
        <v>-1</v>
      </c>
      <c r="V189" s="28">
        <f t="shared" ref="V189:W189" si="197">IF($L189=0,"",$I189-$H189)</f>
        <v>1</v>
      </c>
      <c r="W189" s="28">
        <f t="shared" si="197"/>
        <v>1</v>
      </c>
      <c r="X189" s="28">
        <f t="shared" si="12"/>
        <v>-1</v>
      </c>
      <c r="Y189" s="28"/>
      <c r="Z189" s="28"/>
    </row>
    <row r="190" ht="15.75" customHeight="1">
      <c r="A190" s="38">
        <v>188.0</v>
      </c>
      <c r="B190" s="39">
        <v>46089.0</v>
      </c>
      <c r="C190" s="40" t="s">
        <v>99</v>
      </c>
      <c r="D190" s="40" t="s">
        <v>105</v>
      </c>
      <c r="E190" s="40">
        <v>7.0</v>
      </c>
      <c r="F190" s="40">
        <v>2.0</v>
      </c>
      <c r="G190" s="41" t="s">
        <v>5</v>
      </c>
      <c r="H190" s="42">
        <f>IF($G190="Walkover_Home",Settings!$B$10,IF($G190="Walkover_Away",Settings!$B$11,IF($G190="Cancelled","",IF($E190="","",$E190))))</f>
        <v>7</v>
      </c>
      <c r="I190" s="42">
        <f>IF($G190="Walkover_Home",Settings!$B$11,IF($G190="Walkover_Away",Settings!$B$10,IF($G190="Cancelled","",IF($F190="","",$F190))))</f>
        <v>2</v>
      </c>
      <c r="J190" s="42">
        <f>IF($L190=0,"",IF($G190="Walkover_Home",Settings!$B$7,IF($G190="Walkover_Away",Settings!$B$8,IF($H190&gt;$I190,Settings!$B$3,IF($H190&lt;$I190,Settings!$B$4,Settings!$B$5)))))</f>
        <v>3</v>
      </c>
      <c r="K190" s="42">
        <f>IF($L190=0,"",IF($G190="Walkover_Home",Settings!$B$8,IF($G190="Walkover_Away",Settings!$B$7,IF($I190&gt;$H190,Settings!$B$3,IF($I190&lt;$H190,Settings!$B$4,Settings!$B$5)))))</f>
        <v>0</v>
      </c>
      <c r="L190" s="42">
        <f t="shared" si="2"/>
        <v>1</v>
      </c>
      <c r="M190" s="42">
        <f t="shared" si="3"/>
        <v>1</v>
      </c>
      <c r="N190" s="42">
        <f t="shared" si="4"/>
        <v>0</v>
      </c>
      <c r="O190" s="42">
        <f t="shared" si="5"/>
        <v>0</v>
      </c>
      <c r="P190" s="42">
        <f t="shared" si="6"/>
        <v>0</v>
      </c>
      <c r="Q190" s="42">
        <f t="shared" si="7"/>
        <v>0</v>
      </c>
      <c r="R190" s="42">
        <f t="shared" si="8"/>
        <v>1</v>
      </c>
      <c r="S190" s="43" t="str">
        <f t="shared" si="9"/>
        <v>KAYKAY</v>
      </c>
      <c r="T190" s="41"/>
      <c r="U190" s="28">
        <f t="shared" si="10"/>
        <v>5</v>
      </c>
      <c r="V190" s="28">
        <f t="shared" ref="V190:W190" si="198">IF($L190=0,"",$I190-$H190)</f>
        <v>-5</v>
      </c>
      <c r="W190" s="28">
        <f t="shared" si="198"/>
        <v>-5</v>
      </c>
      <c r="X190" s="28">
        <f t="shared" si="12"/>
        <v>5</v>
      </c>
      <c r="Y190" s="28"/>
      <c r="Z190" s="28"/>
    </row>
    <row r="191" ht="15.75" customHeight="1">
      <c r="A191" s="38">
        <v>189.0</v>
      </c>
      <c r="B191" s="39">
        <v>46089.0</v>
      </c>
      <c r="C191" s="40" t="s">
        <v>114</v>
      </c>
      <c r="D191" s="40" t="s">
        <v>104</v>
      </c>
      <c r="E191" s="40">
        <v>4.0</v>
      </c>
      <c r="F191" s="40">
        <v>1.0</v>
      </c>
      <c r="G191" s="41" t="s">
        <v>5</v>
      </c>
      <c r="H191" s="42">
        <f>IF($G191="Walkover_Home",Settings!$B$10,IF($G191="Walkover_Away",Settings!$B$11,IF($G191="Cancelled","",IF($E191="","",$E191))))</f>
        <v>4</v>
      </c>
      <c r="I191" s="42">
        <f>IF($G191="Walkover_Home",Settings!$B$11,IF($G191="Walkover_Away",Settings!$B$10,IF($G191="Cancelled","",IF($F191="","",$F191))))</f>
        <v>1</v>
      </c>
      <c r="J191" s="42">
        <f>IF($L191=0,"",IF($G191="Walkover_Home",Settings!$B$7,IF($G191="Walkover_Away",Settings!$B$8,IF($H191&gt;$I191,Settings!$B$3,IF($H191&lt;$I191,Settings!$B$4,Settings!$B$5)))))</f>
        <v>3</v>
      </c>
      <c r="K191" s="42">
        <f>IF($L191=0,"",IF($G191="Walkover_Home",Settings!$B$8,IF($G191="Walkover_Away",Settings!$B$7,IF($I191&gt;$H191,Settings!$B$3,IF($I191&lt;$H191,Settings!$B$4,Settings!$B$5)))))</f>
        <v>0</v>
      </c>
      <c r="L191" s="42">
        <f t="shared" si="2"/>
        <v>1</v>
      </c>
      <c r="M191" s="42">
        <f t="shared" si="3"/>
        <v>1</v>
      </c>
      <c r="N191" s="42">
        <f t="shared" si="4"/>
        <v>0</v>
      </c>
      <c r="O191" s="42">
        <f t="shared" si="5"/>
        <v>0</v>
      </c>
      <c r="P191" s="42">
        <f t="shared" si="6"/>
        <v>0</v>
      </c>
      <c r="Q191" s="42">
        <f t="shared" si="7"/>
        <v>0</v>
      </c>
      <c r="R191" s="42">
        <f t="shared" si="8"/>
        <v>1</v>
      </c>
      <c r="S191" s="43" t="str">
        <f t="shared" si="9"/>
        <v>KINGNONEX</v>
      </c>
      <c r="T191" s="41"/>
      <c r="U191" s="28">
        <f t="shared" si="10"/>
        <v>3</v>
      </c>
      <c r="V191" s="28">
        <f t="shared" ref="V191:W191" si="199">IF($L191=0,"",$I191-$H191)</f>
        <v>-3</v>
      </c>
      <c r="W191" s="28">
        <f t="shared" si="199"/>
        <v>-3</v>
      </c>
      <c r="X191" s="28">
        <f t="shared" si="12"/>
        <v>3</v>
      </c>
      <c r="Y191" s="28"/>
      <c r="Z191" s="28"/>
    </row>
    <row r="192" ht="15.75" customHeight="1">
      <c r="A192" s="38">
        <v>190.0</v>
      </c>
      <c r="B192" s="44"/>
      <c r="C192" s="41"/>
      <c r="D192" s="41"/>
      <c r="E192" s="41"/>
      <c r="F192" s="41"/>
      <c r="G192" s="41" t="s">
        <v>5</v>
      </c>
      <c r="H192" s="42" t="str">
        <f>IF($G192="Walkover_Home",Settings!$B$10,IF($G192="Walkover_Away",Settings!$B$11,IF($G192="Cancelled","",IF($E192="","",$E192))))</f>
        <v/>
      </c>
      <c r="I192" s="42" t="str">
        <f>IF($G192="Walkover_Home",Settings!$B$11,IF($G192="Walkover_Away",Settings!$B$10,IF($G192="Cancelled","",IF($F192="","",$F192))))</f>
        <v/>
      </c>
      <c r="J192" s="42" t="str">
        <f>IF($L192=0,"",IF($G192="Walkover_Home",Settings!$B$7,IF($G192="Walkover_Away",Settings!$B$8,IF($H192&gt;$I192,Settings!$B$3,IF($H192&lt;$I192,Settings!$B$4,Settings!$B$5)))))</f>
        <v/>
      </c>
      <c r="K192" s="42" t="str">
        <f>IF($L192=0,"",IF($G192="Walkover_Home",Settings!$B$8,IF($G192="Walkover_Away",Settings!$B$7,IF($I192&gt;$H192,Settings!$B$3,IF($I192&lt;$H192,Settings!$B$4,Settings!$B$5)))))</f>
        <v/>
      </c>
      <c r="L192" s="42">
        <f t="shared" si="2"/>
        <v>0</v>
      </c>
      <c r="M192" s="42" t="str">
        <f t="shared" si="3"/>
        <v/>
      </c>
      <c r="N192" s="42" t="str">
        <f t="shared" si="4"/>
        <v/>
      </c>
      <c r="O192" s="42" t="str">
        <f t="shared" si="5"/>
        <v/>
      </c>
      <c r="P192" s="42" t="str">
        <f t="shared" si="6"/>
        <v/>
      </c>
      <c r="Q192" s="42" t="str">
        <f t="shared" si="7"/>
        <v/>
      </c>
      <c r="R192" s="42" t="str">
        <f t="shared" si="8"/>
        <v/>
      </c>
      <c r="S192" s="43" t="str">
        <f t="shared" si="9"/>
        <v/>
      </c>
      <c r="T192" s="41"/>
      <c r="U192" s="28" t="str">
        <f t="shared" si="10"/>
        <v/>
      </c>
      <c r="V192" s="28" t="str">
        <f t="shared" ref="V192:W192" si="200">IF($L192=0,"",$I192-$H192)</f>
        <v/>
      </c>
      <c r="W192" s="28" t="str">
        <f t="shared" si="200"/>
        <v/>
      </c>
      <c r="X192" s="28" t="str">
        <f t="shared" si="12"/>
        <v/>
      </c>
      <c r="Y192" s="28"/>
      <c r="Z192" s="28"/>
    </row>
    <row r="193" ht="15.75" customHeight="1">
      <c r="A193" s="28"/>
      <c r="B193" s="45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46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45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46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45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46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45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46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45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46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45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46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45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46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45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46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46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46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46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46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46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46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46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46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46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46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46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46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46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46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46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46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46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46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46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46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46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46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46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46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46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46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46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46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46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46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46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46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46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46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46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46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46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46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46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46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46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46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46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46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46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46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46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46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46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46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46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46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46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46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46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46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46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46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46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46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46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46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46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46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46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46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46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46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46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46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46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46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46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46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46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46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46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46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46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46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46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46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46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46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46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46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46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46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46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46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46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46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46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46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46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46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46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46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46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46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46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46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46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46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46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46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46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46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46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46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46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46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46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46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46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46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46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46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46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46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46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46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46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46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46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46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46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46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46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46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46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46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46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46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46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46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46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46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46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46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46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46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46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46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46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46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46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46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46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46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46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46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46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46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46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46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46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46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46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46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46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46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46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46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46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46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46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46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46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46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46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46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46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46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46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46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46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46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46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46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46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46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46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46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46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46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46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46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46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46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46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46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46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46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46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46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46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46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46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46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46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46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46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46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46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46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46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46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46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46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46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46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46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46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46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46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46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46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46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46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46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46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46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46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46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46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46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46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46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46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46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46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46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46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46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46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46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46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46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46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46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46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46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46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46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46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46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46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46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46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46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46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46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46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46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46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46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46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46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46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46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46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46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46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46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46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46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46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46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46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46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46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46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46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46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46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46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46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46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46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46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46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46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46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46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46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46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46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46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46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46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46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46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46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46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46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46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46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46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46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46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46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46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46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46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46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46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46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46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46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46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46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46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46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46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46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46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46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46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46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46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46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46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46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46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46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46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46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46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46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46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46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46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46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46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46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46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46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46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46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46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46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46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46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46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46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46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46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46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46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46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46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46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46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46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46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46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46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46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46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46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46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46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46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46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46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46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46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46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46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46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46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46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46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46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46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46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46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46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46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46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46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46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46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46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46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46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46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46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46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46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46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46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46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46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46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46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46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46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46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46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46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46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46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46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46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46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46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46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46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46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46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46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46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46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46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46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46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46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46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46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46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46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46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46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46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46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46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46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46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46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46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46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46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46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46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46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46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46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46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46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46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46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46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46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46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46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46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46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46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46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46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46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46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46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46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46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46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46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46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46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46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46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46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46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46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46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46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46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46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46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46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46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46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46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46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46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46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46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46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46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46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46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46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46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46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46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46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46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46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46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46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46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46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46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46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46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46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46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46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46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46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46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46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46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46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46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46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46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46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46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46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46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46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46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46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46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46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46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46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46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46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46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46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46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46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46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46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46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46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46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46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46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46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46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46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46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46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46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46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46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46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46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46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46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46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46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46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46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46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46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46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46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46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46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46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46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46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46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46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46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46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46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46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46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46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46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46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46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46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46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46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46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46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46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46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46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46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46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46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46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46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46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46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46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46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46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46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46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46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46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46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46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46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46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46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46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46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46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46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46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46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46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46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46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46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46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46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46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46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46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46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46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46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46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46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46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46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46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46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46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46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46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46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46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46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46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46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46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46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46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46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46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46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46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46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46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46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46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46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46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46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46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46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46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46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46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46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46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46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46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46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46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46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46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46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46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46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46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46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46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46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46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46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46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46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46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46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46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46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46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46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46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46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46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46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46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46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46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46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46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46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46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46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46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46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46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46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46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46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46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46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46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46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46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46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46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46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46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46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46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46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46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46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46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46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46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46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46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46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46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46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46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46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46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46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46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46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46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46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46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46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46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46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46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46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46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46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46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46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46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46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46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46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46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46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46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46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46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46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46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46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46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46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46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46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46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46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46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46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46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46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46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46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46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46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46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46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46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46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46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46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46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46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46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46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46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46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46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46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46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46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46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46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46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46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46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46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46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46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46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46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46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46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46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46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46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46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46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46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46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46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46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46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46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46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46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46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46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46"/>
      <c r="T1000" s="28"/>
      <c r="U1000" s="28"/>
      <c r="V1000" s="28"/>
      <c r="W1000" s="28"/>
      <c r="X1000" s="28"/>
      <c r="Y1000" s="28"/>
      <c r="Z1000" s="28"/>
    </row>
  </sheetData>
  <mergeCells count="1">
    <mergeCell ref="A1:R1"/>
  </mergeCells>
  <dataValidations>
    <dataValidation type="list" allowBlank="1" sqref="G3:G1000">
      <formula1>Settings!$B$14:$B$17</formula1>
    </dataValidation>
    <dataValidation type="list" allowBlank="1" sqref="C3:D1000">
      <formula1>Players!$B$3:$B$1000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0.0"/>
    <col customWidth="1" min="3" max="3" width="12.0"/>
    <col customWidth="1" min="4" max="4" width="9.86"/>
    <col customWidth="1" min="5" max="5" width="69.71"/>
    <col customWidth="1" min="6" max="26" width="8.71"/>
  </cols>
  <sheetData>
    <row r="1">
      <c r="A1" s="26" t="s">
        <v>140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35" t="s">
        <v>117</v>
      </c>
      <c r="B2" s="35" t="s">
        <v>141</v>
      </c>
      <c r="C2" s="36" t="s">
        <v>142</v>
      </c>
      <c r="D2" s="36" t="s">
        <v>143</v>
      </c>
      <c r="E2" s="47" t="s">
        <v>144</v>
      </c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41"/>
      <c r="B3" s="40" t="s">
        <v>101</v>
      </c>
      <c r="C3" s="40" t="s">
        <v>19</v>
      </c>
      <c r="D3" s="40">
        <v>-3.0</v>
      </c>
      <c r="E3" s="48" t="s">
        <v>145</v>
      </c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41"/>
      <c r="B4" s="40"/>
      <c r="C4" s="41"/>
      <c r="D4" s="41"/>
      <c r="E4" s="49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41"/>
      <c r="B5" s="41"/>
      <c r="C5" s="41"/>
      <c r="D5" s="41"/>
      <c r="E5" s="49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41"/>
      <c r="B6" s="41"/>
      <c r="C6" s="41"/>
      <c r="D6" s="41"/>
      <c r="E6" s="49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41"/>
      <c r="B7" s="41"/>
      <c r="C7" s="41"/>
      <c r="D7" s="41"/>
      <c r="E7" s="49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41"/>
      <c r="B8" s="41"/>
      <c r="C8" s="41"/>
      <c r="D8" s="41"/>
      <c r="E8" s="49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41"/>
      <c r="B9" s="41"/>
      <c r="C9" s="41"/>
      <c r="D9" s="41"/>
      <c r="E9" s="49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41"/>
      <c r="B10" s="41"/>
      <c r="C10" s="41"/>
      <c r="D10" s="41"/>
      <c r="E10" s="49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41"/>
      <c r="C11" s="41"/>
      <c r="D11" s="41"/>
      <c r="E11" s="49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41"/>
      <c r="B12" s="41"/>
      <c r="C12" s="41"/>
      <c r="D12" s="41"/>
      <c r="E12" s="49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41"/>
      <c r="B13" s="41"/>
      <c r="C13" s="41"/>
      <c r="D13" s="41"/>
      <c r="E13" s="49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41"/>
      <c r="B14" s="41"/>
      <c r="C14" s="41"/>
      <c r="D14" s="41"/>
      <c r="E14" s="49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41"/>
      <c r="B15" s="41"/>
      <c r="C15" s="41"/>
      <c r="D15" s="41"/>
      <c r="E15" s="49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41"/>
      <c r="B16" s="41"/>
      <c r="C16" s="41"/>
      <c r="D16" s="41"/>
      <c r="E16" s="49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41"/>
      <c r="B17" s="41"/>
      <c r="C17" s="41"/>
      <c r="D17" s="41"/>
      <c r="E17" s="49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41"/>
      <c r="B18" s="41"/>
      <c r="C18" s="41"/>
      <c r="D18" s="41"/>
      <c r="E18" s="49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41"/>
      <c r="B19" s="41"/>
      <c r="C19" s="41"/>
      <c r="D19" s="41"/>
      <c r="E19" s="49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41"/>
      <c r="B20" s="41"/>
      <c r="C20" s="41"/>
      <c r="D20" s="41"/>
      <c r="E20" s="49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41"/>
      <c r="B21" s="41"/>
      <c r="C21" s="41"/>
      <c r="D21" s="41"/>
      <c r="E21" s="49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41"/>
      <c r="B22" s="41"/>
      <c r="C22" s="41"/>
      <c r="D22" s="41"/>
      <c r="E22" s="49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41"/>
      <c r="B23" s="41"/>
      <c r="C23" s="41"/>
      <c r="D23" s="41"/>
      <c r="E23" s="49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41"/>
      <c r="B24" s="41"/>
      <c r="C24" s="41"/>
      <c r="D24" s="41"/>
      <c r="E24" s="49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41"/>
      <c r="B25" s="41"/>
      <c r="C25" s="41"/>
      <c r="D25" s="41"/>
      <c r="E25" s="49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41"/>
      <c r="B26" s="41"/>
      <c r="C26" s="41"/>
      <c r="D26" s="41"/>
      <c r="E26" s="49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41"/>
      <c r="B27" s="41"/>
      <c r="C27" s="41"/>
      <c r="D27" s="41"/>
      <c r="E27" s="49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41"/>
      <c r="B28" s="41"/>
      <c r="C28" s="41"/>
      <c r="D28" s="41"/>
      <c r="E28" s="49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41"/>
      <c r="B29" s="41"/>
      <c r="C29" s="41"/>
      <c r="D29" s="41"/>
      <c r="E29" s="49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41"/>
      <c r="B30" s="41"/>
      <c r="C30" s="41"/>
      <c r="D30" s="41"/>
      <c r="E30" s="4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41"/>
      <c r="B31" s="41"/>
      <c r="C31" s="41"/>
      <c r="D31" s="41"/>
      <c r="E31" s="49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41"/>
      <c r="B32" s="41"/>
      <c r="C32" s="41"/>
      <c r="D32" s="41"/>
      <c r="E32" s="49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41"/>
      <c r="B33" s="41"/>
      <c r="C33" s="41"/>
      <c r="D33" s="41"/>
      <c r="E33" s="49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41"/>
      <c r="B34" s="41"/>
      <c r="C34" s="41"/>
      <c r="D34" s="41"/>
      <c r="E34" s="49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41"/>
      <c r="B35" s="41"/>
      <c r="C35" s="41"/>
      <c r="D35" s="41"/>
      <c r="E35" s="49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41"/>
      <c r="B36" s="41"/>
      <c r="C36" s="41"/>
      <c r="D36" s="41"/>
      <c r="E36" s="49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41"/>
      <c r="B37" s="41"/>
      <c r="C37" s="41"/>
      <c r="D37" s="41"/>
      <c r="E37" s="49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41"/>
      <c r="B38" s="41"/>
      <c r="C38" s="41"/>
      <c r="D38" s="41"/>
      <c r="E38" s="49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41"/>
      <c r="B39" s="41"/>
      <c r="C39" s="41"/>
      <c r="D39" s="41"/>
      <c r="E39" s="49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41"/>
      <c r="B40" s="41"/>
      <c r="C40" s="41"/>
      <c r="D40" s="41"/>
      <c r="E40" s="49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41"/>
      <c r="B41" s="41"/>
      <c r="C41" s="41"/>
      <c r="D41" s="41"/>
      <c r="E41" s="49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41"/>
      <c r="B42" s="41"/>
      <c r="C42" s="41"/>
      <c r="D42" s="41"/>
      <c r="E42" s="49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41"/>
      <c r="B43" s="41"/>
      <c r="C43" s="41"/>
      <c r="D43" s="41"/>
      <c r="E43" s="49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41"/>
      <c r="B44" s="41"/>
      <c r="C44" s="41"/>
      <c r="D44" s="41"/>
      <c r="E44" s="49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41"/>
      <c r="B45" s="41"/>
      <c r="C45" s="41"/>
      <c r="D45" s="41"/>
      <c r="E45" s="49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41"/>
      <c r="B46" s="41"/>
      <c r="C46" s="41"/>
      <c r="D46" s="41"/>
      <c r="E46" s="49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41"/>
      <c r="B47" s="41"/>
      <c r="C47" s="41"/>
      <c r="D47" s="41"/>
      <c r="E47" s="49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41"/>
      <c r="B48" s="41"/>
      <c r="C48" s="41"/>
      <c r="D48" s="41"/>
      <c r="E48" s="49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41"/>
      <c r="B49" s="41"/>
      <c r="C49" s="41"/>
      <c r="D49" s="41"/>
      <c r="E49" s="49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41"/>
      <c r="B50" s="41"/>
      <c r="C50" s="41"/>
      <c r="D50" s="41"/>
      <c r="E50" s="49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41"/>
      <c r="B51" s="41"/>
      <c r="C51" s="41"/>
      <c r="D51" s="41"/>
      <c r="E51" s="49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41"/>
      <c r="B52" s="41"/>
      <c r="C52" s="41"/>
      <c r="D52" s="41"/>
      <c r="E52" s="49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41"/>
      <c r="B53" s="41"/>
      <c r="C53" s="41"/>
      <c r="D53" s="41"/>
      <c r="E53" s="49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41"/>
      <c r="B54" s="41"/>
      <c r="C54" s="41"/>
      <c r="D54" s="41"/>
      <c r="E54" s="49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41"/>
      <c r="B55" s="41"/>
      <c r="C55" s="41"/>
      <c r="D55" s="41"/>
      <c r="E55" s="49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41"/>
      <c r="B56" s="41"/>
      <c r="C56" s="41"/>
      <c r="D56" s="41"/>
      <c r="E56" s="49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41"/>
      <c r="B57" s="41"/>
      <c r="C57" s="41"/>
      <c r="D57" s="41"/>
      <c r="E57" s="49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41"/>
      <c r="B58" s="41"/>
      <c r="C58" s="41"/>
      <c r="D58" s="41"/>
      <c r="E58" s="49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41"/>
      <c r="B59" s="41"/>
      <c r="C59" s="41"/>
      <c r="D59" s="41"/>
      <c r="E59" s="49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41"/>
      <c r="B60" s="41"/>
      <c r="C60" s="41"/>
      <c r="D60" s="41"/>
      <c r="E60" s="49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41"/>
      <c r="B61" s="41"/>
      <c r="C61" s="41"/>
      <c r="D61" s="41"/>
      <c r="E61" s="49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41"/>
      <c r="B62" s="41"/>
      <c r="C62" s="41"/>
      <c r="D62" s="41"/>
      <c r="E62" s="49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41"/>
      <c r="B63" s="41"/>
      <c r="C63" s="41"/>
      <c r="D63" s="41"/>
      <c r="E63" s="49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41"/>
      <c r="B64" s="41"/>
      <c r="C64" s="41"/>
      <c r="D64" s="41"/>
      <c r="E64" s="49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41"/>
      <c r="B65" s="41"/>
      <c r="C65" s="41"/>
      <c r="D65" s="41"/>
      <c r="E65" s="49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41"/>
      <c r="B66" s="41"/>
      <c r="C66" s="41"/>
      <c r="D66" s="41"/>
      <c r="E66" s="49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41"/>
      <c r="B67" s="41"/>
      <c r="C67" s="41"/>
      <c r="D67" s="41"/>
      <c r="E67" s="49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41"/>
      <c r="B68" s="41"/>
      <c r="C68" s="41"/>
      <c r="D68" s="41"/>
      <c r="E68" s="49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41"/>
      <c r="B69" s="41"/>
      <c r="C69" s="41"/>
      <c r="D69" s="41"/>
      <c r="E69" s="49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41"/>
      <c r="B70" s="41"/>
      <c r="C70" s="41"/>
      <c r="D70" s="41"/>
      <c r="E70" s="49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41"/>
      <c r="B71" s="41"/>
      <c r="C71" s="41"/>
      <c r="D71" s="41"/>
      <c r="E71" s="49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41"/>
      <c r="B72" s="41"/>
      <c r="C72" s="41"/>
      <c r="D72" s="41"/>
      <c r="E72" s="49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41"/>
      <c r="B73" s="41"/>
      <c r="C73" s="41"/>
      <c r="D73" s="41"/>
      <c r="E73" s="49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41"/>
      <c r="B74" s="41"/>
      <c r="C74" s="41"/>
      <c r="D74" s="41"/>
      <c r="E74" s="49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41"/>
      <c r="B75" s="41"/>
      <c r="C75" s="41"/>
      <c r="D75" s="41"/>
      <c r="E75" s="49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41"/>
      <c r="B76" s="41"/>
      <c r="C76" s="41"/>
      <c r="D76" s="41"/>
      <c r="E76" s="49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41"/>
      <c r="B77" s="41"/>
      <c r="C77" s="41"/>
      <c r="D77" s="41"/>
      <c r="E77" s="49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41"/>
      <c r="B78" s="41"/>
      <c r="C78" s="41"/>
      <c r="D78" s="41"/>
      <c r="E78" s="49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41"/>
      <c r="B79" s="41"/>
      <c r="C79" s="41"/>
      <c r="D79" s="41"/>
      <c r="E79" s="49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41"/>
      <c r="B80" s="41"/>
      <c r="C80" s="41"/>
      <c r="D80" s="41"/>
      <c r="E80" s="49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41"/>
      <c r="B81" s="41"/>
      <c r="C81" s="41"/>
      <c r="D81" s="41"/>
      <c r="E81" s="49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41"/>
      <c r="B82" s="41"/>
      <c r="C82" s="41"/>
      <c r="D82" s="41"/>
      <c r="E82" s="49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41"/>
      <c r="B83" s="41"/>
      <c r="C83" s="41"/>
      <c r="D83" s="41"/>
      <c r="E83" s="49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41"/>
      <c r="B84" s="41"/>
      <c r="C84" s="41"/>
      <c r="D84" s="41"/>
      <c r="E84" s="49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41"/>
      <c r="B85" s="41"/>
      <c r="C85" s="41"/>
      <c r="D85" s="41"/>
      <c r="E85" s="49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41"/>
      <c r="B86" s="41"/>
      <c r="C86" s="41"/>
      <c r="D86" s="41"/>
      <c r="E86" s="49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41"/>
      <c r="B87" s="41"/>
      <c r="C87" s="41"/>
      <c r="D87" s="41"/>
      <c r="E87" s="49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41"/>
      <c r="B88" s="41"/>
      <c r="C88" s="41"/>
      <c r="D88" s="41"/>
      <c r="E88" s="49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41"/>
      <c r="B89" s="41"/>
      <c r="C89" s="41"/>
      <c r="D89" s="41"/>
      <c r="E89" s="49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41"/>
      <c r="B90" s="41"/>
      <c r="C90" s="41"/>
      <c r="D90" s="41"/>
      <c r="E90" s="49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41"/>
      <c r="B91" s="41"/>
      <c r="C91" s="41"/>
      <c r="D91" s="41"/>
      <c r="E91" s="49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41"/>
      <c r="B92" s="41"/>
      <c r="C92" s="41"/>
      <c r="D92" s="41"/>
      <c r="E92" s="49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41"/>
      <c r="B93" s="41"/>
      <c r="C93" s="41"/>
      <c r="D93" s="41"/>
      <c r="E93" s="49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41"/>
      <c r="B94" s="41"/>
      <c r="C94" s="41"/>
      <c r="D94" s="41"/>
      <c r="E94" s="49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41"/>
      <c r="B95" s="41"/>
      <c r="C95" s="41"/>
      <c r="D95" s="41"/>
      <c r="E95" s="49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41"/>
      <c r="B96" s="41"/>
      <c r="C96" s="41"/>
      <c r="D96" s="41"/>
      <c r="E96" s="49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41"/>
      <c r="B97" s="41"/>
      <c r="C97" s="41"/>
      <c r="D97" s="41"/>
      <c r="E97" s="49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41"/>
      <c r="B98" s="41"/>
      <c r="C98" s="41"/>
      <c r="D98" s="41"/>
      <c r="E98" s="49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41"/>
      <c r="B99" s="41"/>
      <c r="C99" s="41"/>
      <c r="D99" s="41"/>
      <c r="E99" s="49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41"/>
      <c r="B100" s="41"/>
      <c r="C100" s="41"/>
      <c r="D100" s="41"/>
      <c r="E100" s="49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41"/>
      <c r="B101" s="41"/>
      <c r="C101" s="41"/>
      <c r="D101" s="41"/>
      <c r="E101" s="49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41"/>
      <c r="B102" s="41"/>
      <c r="C102" s="41"/>
      <c r="D102" s="41"/>
      <c r="E102" s="49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41"/>
      <c r="B103" s="41"/>
      <c r="C103" s="41"/>
      <c r="D103" s="41"/>
      <c r="E103" s="49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41"/>
      <c r="B104" s="41"/>
      <c r="C104" s="41"/>
      <c r="D104" s="41"/>
      <c r="E104" s="49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41"/>
      <c r="B105" s="41"/>
      <c r="C105" s="41"/>
      <c r="D105" s="41"/>
      <c r="E105" s="49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41"/>
      <c r="B106" s="41"/>
      <c r="C106" s="41"/>
      <c r="D106" s="41"/>
      <c r="E106" s="49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41"/>
      <c r="B107" s="41"/>
      <c r="C107" s="41"/>
      <c r="D107" s="41"/>
      <c r="E107" s="49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41"/>
      <c r="B108" s="41"/>
      <c r="C108" s="41"/>
      <c r="D108" s="41"/>
      <c r="E108" s="49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41"/>
      <c r="B109" s="41"/>
      <c r="C109" s="41"/>
      <c r="D109" s="41"/>
      <c r="E109" s="49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41"/>
      <c r="B110" s="41"/>
      <c r="C110" s="41"/>
      <c r="D110" s="41"/>
      <c r="E110" s="49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41"/>
      <c r="B111" s="41"/>
      <c r="C111" s="41"/>
      <c r="D111" s="41"/>
      <c r="E111" s="49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41"/>
      <c r="B112" s="41"/>
      <c r="C112" s="41"/>
      <c r="D112" s="41"/>
      <c r="E112" s="49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41"/>
      <c r="B113" s="41"/>
      <c r="C113" s="41"/>
      <c r="D113" s="41"/>
      <c r="E113" s="49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41"/>
      <c r="B114" s="41"/>
      <c r="C114" s="41"/>
      <c r="D114" s="41"/>
      <c r="E114" s="49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41"/>
      <c r="B115" s="41"/>
      <c r="C115" s="41"/>
      <c r="D115" s="41"/>
      <c r="E115" s="49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41"/>
      <c r="B116" s="41"/>
      <c r="C116" s="41"/>
      <c r="D116" s="41"/>
      <c r="E116" s="49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41"/>
      <c r="B117" s="41"/>
      <c r="C117" s="41"/>
      <c r="D117" s="41"/>
      <c r="E117" s="49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41"/>
      <c r="B118" s="41"/>
      <c r="C118" s="41"/>
      <c r="D118" s="41"/>
      <c r="E118" s="49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41"/>
      <c r="B119" s="41"/>
      <c r="C119" s="41"/>
      <c r="D119" s="41"/>
      <c r="E119" s="49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41"/>
      <c r="B120" s="41"/>
      <c r="C120" s="41"/>
      <c r="D120" s="41"/>
      <c r="E120" s="49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41"/>
      <c r="B121" s="41"/>
      <c r="C121" s="41"/>
      <c r="D121" s="41"/>
      <c r="E121" s="49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41"/>
      <c r="B122" s="41"/>
      <c r="C122" s="41"/>
      <c r="D122" s="41"/>
      <c r="E122" s="49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41"/>
      <c r="B123" s="41"/>
      <c r="C123" s="41"/>
      <c r="D123" s="41"/>
      <c r="E123" s="49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41"/>
      <c r="B124" s="41"/>
      <c r="C124" s="41"/>
      <c r="D124" s="41"/>
      <c r="E124" s="49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41"/>
      <c r="B125" s="41"/>
      <c r="C125" s="41"/>
      <c r="D125" s="41"/>
      <c r="E125" s="49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41"/>
      <c r="B126" s="41"/>
      <c r="C126" s="41"/>
      <c r="D126" s="41"/>
      <c r="E126" s="49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41"/>
      <c r="B127" s="41"/>
      <c r="C127" s="41"/>
      <c r="D127" s="41"/>
      <c r="E127" s="49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41"/>
      <c r="B128" s="41"/>
      <c r="C128" s="41"/>
      <c r="D128" s="41"/>
      <c r="E128" s="49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41"/>
      <c r="B129" s="41"/>
      <c r="C129" s="41"/>
      <c r="D129" s="41"/>
      <c r="E129" s="49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41"/>
      <c r="B130" s="41"/>
      <c r="C130" s="41"/>
      <c r="D130" s="41"/>
      <c r="E130" s="49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41"/>
      <c r="B131" s="41"/>
      <c r="C131" s="41"/>
      <c r="D131" s="41"/>
      <c r="E131" s="49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41"/>
      <c r="B132" s="41"/>
      <c r="C132" s="41"/>
      <c r="D132" s="41"/>
      <c r="E132" s="49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41"/>
      <c r="B133" s="41"/>
      <c r="C133" s="41"/>
      <c r="D133" s="41"/>
      <c r="E133" s="49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41"/>
      <c r="B134" s="41"/>
      <c r="C134" s="41"/>
      <c r="D134" s="41"/>
      <c r="E134" s="49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41"/>
      <c r="B135" s="41"/>
      <c r="C135" s="41"/>
      <c r="D135" s="41"/>
      <c r="E135" s="49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41"/>
      <c r="B136" s="41"/>
      <c r="C136" s="41"/>
      <c r="D136" s="41"/>
      <c r="E136" s="49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41"/>
      <c r="B137" s="41"/>
      <c r="C137" s="41"/>
      <c r="D137" s="41"/>
      <c r="E137" s="49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41"/>
      <c r="B138" s="41"/>
      <c r="C138" s="41"/>
      <c r="D138" s="41"/>
      <c r="E138" s="49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41"/>
      <c r="B139" s="41"/>
      <c r="C139" s="41"/>
      <c r="D139" s="41"/>
      <c r="E139" s="49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41"/>
      <c r="B140" s="41"/>
      <c r="C140" s="41"/>
      <c r="D140" s="41"/>
      <c r="E140" s="49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41"/>
      <c r="B141" s="41"/>
      <c r="C141" s="41"/>
      <c r="D141" s="41"/>
      <c r="E141" s="49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41"/>
      <c r="B142" s="41"/>
      <c r="C142" s="41"/>
      <c r="D142" s="41"/>
      <c r="E142" s="49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41"/>
      <c r="B143" s="41"/>
      <c r="C143" s="41"/>
      <c r="D143" s="41"/>
      <c r="E143" s="49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41"/>
      <c r="B144" s="41"/>
      <c r="C144" s="41"/>
      <c r="D144" s="41"/>
      <c r="E144" s="49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41"/>
      <c r="B145" s="41"/>
      <c r="C145" s="41"/>
      <c r="D145" s="41"/>
      <c r="E145" s="49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41"/>
      <c r="B146" s="41"/>
      <c r="C146" s="41"/>
      <c r="D146" s="41"/>
      <c r="E146" s="49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41"/>
      <c r="B147" s="41"/>
      <c r="C147" s="41"/>
      <c r="D147" s="41"/>
      <c r="E147" s="49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41"/>
      <c r="B148" s="41"/>
      <c r="C148" s="41"/>
      <c r="D148" s="41"/>
      <c r="E148" s="49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41"/>
      <c r="B149" s="41"/>
      <c r="C149" s="41"/>
      <c r="D149" s="41"/>
      <c r="E149" s="49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41"/>
      <c r="B150" s="41"/>
      <c r="C150" s="41"/>
      <c r="D150" s="41"/>
      <c r="E150" s="49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41"/>
      <c r="B151" s="41"/>
      <c r="C151" s="41"/>
      <c r="D151" s="41"/>
      <c r="E151" s="49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41"/>
      <c r="B152" s="41"/>
      <c r="C152" s="41"/>
      <c r="D152" s="41"/>
      <c r="E152" s="49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41"/>
      <c r="B153" s="41"/>
      <c r="C153" s="41"/>
      <c r="D153" s="41"/>
      <c r="E153" s="49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41"/>
      <c r="B154" s="41"/>
      <c r="C154" s="41"/>
      <c r="D154" s="41"/>
      <c r="E154" s="49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41"/>
      <c r="B155" s="41"/>
      <c r="C155" s="41"/>
      <c r="D155" s="41"/>
      <c r="E155" s="49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41"/>
      <c r="B156" s="41"/>
      <c r="C156" s="41"/>
      <c r="D156" s="41"/>
      <c r="E156" s="49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41"/>
      <c r="B157" s="41"/>
      <c r="C157" s="41"/>
      <c r="D157" s="41"/>
      <c r="E157" s="49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41"/>
      <c r="B158" s="41"/>
      <c r="C158" s="41"/>
      <c r="D158" s="41"/>
      <c r="E158" s="49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41"/>
      <c r="B159" s="41"/>
      <c r="C159" s="41"/>
      <c r="D159" s="41"/>
      <c r="E159" s="49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41"/>
      <c r="B160" s="41"/>
      <c r="C160" s="41"/>
      <c r="D160" s="41"/>
      <c r="E160" s="49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41"/>
      <c r="B161" s="41"/>
      <c r="C161" s="41"/>
      <c r="D161" s="41"/>
      <c r="E161" s="49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41"/>
      <c r="B162" s="41"/>
      <c r="C162" s="41"/>
      <c r="D162" s="41"/>
      <c r="E162" s="49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41"/>
      <c r="B163" s="41"/>
      <c r="C163" s="41"/>
      <c r="D163" s="41"/>
      <c r="E163" s="49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41"/>
      <c r="B164" s="41"/>
      <c r="C164" s="41"/>
      <c r="D164" s="41"/>
      <c r="E164" s="49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41"/>
      <c r="B165" s="41"/>
      <c r="C165" s="41"/>
      <c r="D165" s="41"/>
      <c r="E165" s="49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41"/>
      <c r="B166" s="41"/>
      <c r="C166" s="41"/>
      <c r="D166" s="41"/>
      <c r="E166" s="49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41"/>
      <c r="B167" s="41"/>
      <c r="C167" s="41"/>
      <c r="D167" s="41"/>
      <c r="E167" s="49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41"/>
      <c r="B168" s="41"/>
      <c r="C168" s="41"/>
      <c r="D168" s="41"/>
      <c r="E168" s="49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41"/>
      <c r="B169" s="41"/>
      <c r="C169" s="41"/>
      <c r="D169" s="41"/>
      <c r="E169" s="49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41"/>
      <c r="B170" s="41"/>
      <c r="C170" s="41"/>
      <c r="D170" s="41"/>
      <c r="E170" s="49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41"/>
      <c r="B171" s="41"/>
      <c r="C171" s="41"/>
      <c r="D171" s="41"/>
      <c r="E171" s="49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41"/>
      <c r="B172" s="41"/>
      <c r="C172" s="41"/>
      <c r="D172" s="41"/>
      <c r="E172" s="49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41"/>
      <c r="B173" s="41"/>
      <c r="C173" s="41"/>
      <c r="D173" s="41"/>
      <c r="E173" s="49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41"/>
      <c r="B174" s="41"/>
      <c r="C174" s="41"/>
      <c r="D174" s="41"/>
      <c r="E174" s="49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41"/>
      <c r="B175" s="41"/>
      <c r="C175" s="41"/>
      <c r="D175" s="41"/>
      <c r="E175" s="49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41"/>
      <c r="B176" s="41"/>
      <c r="C176" s="41"/>
      <c r="D176" s="41"/>
      <c r="E176" s="49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41"/>
      <c r="B177" s="41"/>
      <c r="C177" s="41"/>
      <c r="D177" s="41"/>
      <c r="E177" s="49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41"/>
      <c r="B178" s="41"/>
      <c r="C178" s="41"/>
      <c r="D178" s="41"/>
      <c r="E178" s="49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41"/>
      <c r="B179" s="41"/>
      <c r="C179" s="41"/>
      <c r="D179" s="41"/>
      <c r="E179" s="49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41"/>
      <c r="B180" s="41"/>
      <c r="C180" s="41"/>
      <c r="D180" s="41"/>
      <c r="E180" s="49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41"/>
      <c r="B181" s="41"/>
      <c r="C181" s="41"/>
      <c r="D181" s="41"/>
      <c r="E181" s="49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41"/>
      <c r="B182" s="41"/>
      <c r="C182" s="41"/>
      <c r="D182" s="41"/>
      <c r="E182" s="49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41"/>
      <c r="B183" s="41"/>
      <c r="C183" s="41"/>
      <c r="D183" s="41"/>
      <c r="E183" s="49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41"/>
      <c r="B184" s="41"/>
      <c r="C184" s="41"/>
      <c r="D184" s="41"/>
      <c r="E184" s="49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41"/>
      <c r="B185" s="41"/>
      <c r="C185" s="41"/>
      <c r="D185" s="41"/>
      <c r="E185" s="49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41"/>
      <c r="B186" s="41"/>
      <c r="C186" s="41"/>
      <c r="D186" s="41"/>
      <c r="E186" s="49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41"/>
      <c r="B187" s="41"/>
      <c r="C187" s="41"/>
      <c r="D187" s="41"/>
      <c r="E187" s="49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41"/>
      <c r="B188" s="41"/>
      <c r="C188" s="41"/>
      <c r="D188" s="41"/>
      <c r="E188" s="49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41"/>
      <c r="B189" s="41"/>
      <c r="C189" s="41"/>
      <c r="D189" s="41"/>
      <c r="E189" s="49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41"/>
      <c r="B190" s="41"/>
      <c r="C190" s="41"/>
      <c r="D190" s="41"/>
      <c r="E190" s="49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41"/>
      <c r="B191" s="41"/>
      <c r="C191" s="41"/>
      <c r="D191" s="41"/>
      <c r="E191" s="49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41"/>
      <c r="B192" s="41"/>
      <c r="C192" s="41"/>
      <c r="D192" s="41"/>
      <c r="E192" s="49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41"/>
      <c r="B193" s="41"/>
      <c r="C193" s="41"/>
      <c r="D193" s="41"/>
      <c r="E193" s="49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41"/>
      <c r="B194" s="41"/>
      <c r="C194" s="41"/>
      <c r="D194" s="41"/>
      <c r="E194" s="49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41"/>
      <c r="B195" s="41"/>
      <c r="C195" s="41"/>
      <c r="D195" s="41"/>
      <c r="E195" s="49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41"/>
      <c r="B196" s="41"/>
      <c r="C196" s="41"/>
      <c r="D196" s="41"/>
      <c r="E196" s="49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41"/>
      <c r="B197" s="41"/>
      <c r="C197" s="41"/>
      <c r="D197" s="41"/>
      <c r="E197" s="49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41"/>
      <c r="B198" s="41"/>
      <c r="C198" s="41"/>
      <c r="D198" s="41"/>
      <c r="E198" s="49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41"/>
      <c r="B199" s="41"/>
      <c r="C199" s="41"/>
      <c r="D199" s="41"/>
      <c r="E199" s="49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41"/>
      <c r="B200" s="41"/>
      <c r="C200" s="41"/>
      <c r="D200" s="41"/>
      <c r="E200" s="49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41"/>
      <c r="B201" s="41"/>
      <c r="C201" s="41"/>
      <c r="D201" s="41"/>
      <c r="E201" s="49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41"/>
      <c r="B202" s="41"/>
      <c r="C202" s="41"/>
      <c r="D202" s="41"/>
      <c r="E202" s="49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1">
    <mergeCell ref="A1:D1"/>
  </mergeCells>
  <dataValidations>
    <dataValidation type="list" allowBlank="1" showErrorMessage="1" sqref="C3:C1000">
      <formula1>"MP,W,D,L,GF,GA,PTS"</formula1>
    </dataValidation>
    <dataValidation type="list" allowBlank="1" sqref="B3:B10 B12:B1000">
      <formula1>Players!$B$3:$B$1000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5" width="6.0"/>
    <col customWidth="1" min="6" max="8" width="8.0"/>
    <col customWidth="1" min="9" max="9" width="12.0"/>
    <col customWidth="1" min="10" max="11" width="10.0"/>
    <col customWidth="1" min="12" max="12" width="8.0"/>
    <col customWidth="1" min="13" max="13" width="18.14"/>
    <col customWidth="1" min="14" max="18" width="8.71"/>
    <col customWidth="1" min="19" max="19" width="10.57"/>
    <col customWidth="1" min="20" max="20" width="14.43"/>
    <col customWidth="1" min="21" max="22" width="8.71"/>
    <col customWidth="1" min="23" max="23" width="9.43"/>
    <col customWidth="1" min="24" max="31" width="8.71"/>
  </cols>
  <sheetData>
    <row r="1">
      <c r="A1" s="26" t="s">
        <v>146</v>
      </c>
      <c r="M1" s="27"/>
      <c r="N1" s="27"/>
      <c r="O1" s="27"/>
      <c r="P1" s="27"/>
      <c r="Q1" s="27"/>
      <c r="R1" s="27"/>
      <c r="S1" s="27"/>
      <c r="T1" s="27"/>
      <c r="U1" s="27"/>
      <c r="V1" s="50"/>
      <c r="W1" s="50"/>
      <c r="X1" s="50"/>
      <c r="Y1" s="50"/>
      <c r="Z1" s="50"/>
      <c r="AA1" s="50"/>
      <c r="AB1" s="50"/>
      <c r="AC1" s="50"/>
      <c r="AD1" s="50"/>
      <c r="AE1" s="50"/>
    </row>
    <row r="2" ht="51.0" customHeight="1">
      <c r="A2" s="31" t="s">
        <v>141</v>
      </c>
      <c r="B2" s="31" t="s">
        <v>4</v>
      </c>
      <c r="C2" s="31" t="s">
        <v>8</v>
      </c>
      <c r="D2" s="31" t="s">
        <v>12</v>
      </c>
      <c r="E2" s="31" t="s">
        <v>16</v>
      </c>
      <c r="F2" s="31" t="s">
        <v>19</v>
      </c>
      <c r="G2" s="31" t="s">
        <v>23</v>
      </c>
      <c r="H2" s="31" t="s">
        <v>27</v>
      </c>
      <c r="I2" s="31" t="s">
        <v>31</v>
      </c>
      <c r="J2" s="31" t="s">
        <v>35</v>
      </c>
      <c r="K2" s="31" t="s">
        <v>39</v>
      </c>
      <c r="L2" s="31" t="s">
        <v>43</v>
      </c>
      <c r="M2" s="37" t="s">
        <v>47</v>
      </c>
      <c r="N2" s="37" t="s">
        <v>49</v>
      </c>
      <c r="O2" s="37" t="s">
        <v>53</v>
      </c>
      <c r="P2" s="37" t="s">
        <v>57</v>
      </c>
      <c r="Q2" s="37" t="s">
        <v>60</v>
      </c>
      <c r="R2" s="37" t="s">
        <v>64</v>
      </c>
      <c r="S2" s="37" t="s">
        <v>68</v>
      </c>
      <c r="T2" s="37" t="s">
        <v>71</v>
      </c>
      <c r="U2" s="37" t="s">
        <v>74</v>
      </c>
      <c r="V2" s="51" t="s">
        <v>147</v>
      </c>
      <c r="W2" s="37" t="s">
        <v>148</v>
      </c>
      <c r="X2" s="37" t="s">
        <v>149</v>
      </c>
      <c r="Y2" s="37" t="s">
        <v>150</v>
      </c>
      <c r="Z2" s="37" t="s">
        <v>151</v>
      </c>
      <c r="AA2" s="37" t="s">
        <v>152</v>
      </c>
      <c r="AB2" s="37" t="s">
        <v>153</v>
      </c>
      <c r="AC2" s="37" t="s">
        <v>154</v>
      </c>
      <c r="AD2" s="37" t="s">
        <v>155</v>
      </c>
      <c r="AE2" s="37" t="s">
        <v>156</v>
      </c>
    </row>
    <row r="3">
      <c r="A3" s="32" t="str">
        <f>IF(Players!$B3="","",Players!$B3)</f>
        <v>MR OGA</v>
      </c>
      <c r="B3" s="52">
        <f>IF($A3="","",(COUNTIFS(Matches!$C:$C,$A3,Matches!$L:$L,1)+COUNTIFS(Matches!$D:$D,$A3,Matches!$L:$L,1)) + $X3)</f>
        <v>19</v>
      </c>
      <c r="C3" s="52">
        <f>IF($A3="","",
COUNTIFS(Matches!$C:$C,$A3,Matches!$M:$M,TRUE)+COUNTIFS(Matches!$C:$C,$A3,Matches!$M:$M,1)
+COUNTIFS(Matches!$D:$D,$A3,Matches!$P:$P,TRUE)+COUNTIFS(Matches!$D:$D,$A3,Matches!$P:$P,1)
+$Y3)</f>
        <v>10</v>
      </c>
      <c r="D3" s="52">
        <f>IF($A3="","",
COUNTIFS(Matches!$C:$C,$A3,Matches!$N:$N,TRUE)+COUNTIFS(Matches!$C:$C,$A3,Matches!$N:$N,1)
+COUNTIFS(Matches!$D:$D,$A3,Matches!$Q:$Q,TRUE)+COUNTIFS(Matches!$D:$D,$A3,Matches!$Q:$Q,1)
+$Z3)</f>
        <v>3</v>
      </c>
      <c r="E3" s="52">
        <f>IF($A3="","",
COUNTIFS(Matches!$C:$C,$A3,Matches!$O:$O,TRUE)+COUNTIFS(Matches!$C:$C,$A3,Matches!$O:$O,1)
+COUNTIFS(Matches!$D:$D,$A3,Matches!$R:$R,TRUE)+COUNTIFS(Matches!$D:$D,$A3,Matches!$R:$R,1)
+$AA3)</f>
        <v>6</v>
      </c>
      <c r="F3" s="52">
        <f>IF($A3="","",(SUMIFS(Matches!$H:$H,Matches!$C:$C,$A3)+SUMIFS(Matches!$I:$I,Matches!$D:$D,$A3)) + $AB3)</f>
        <v>101</v>
      </c>
      <c r="G3" s="52">
        <f>IF($A3="","",(SUMIFS(Matches!$I:$I,Matches!$C:$C,$A3)+SUMIFS(Matches!$H:$H,Matches!$D:$D,$A3)) + $AC3)</f>
        <v>87</v>
      </c>
      <c r="H3" s="52">
        <f t="shared" ref="H3:H22" si="1">IF($A3="","",($F3-$G3) + $AD3)</f>
        <v>14</v>
      </c>
      <c r="I3" s="52">
        <f>IF($A3="","",
SUMIFS(Matches!$J:$J,Matches!$C:$C,$A3,Matches!$L:$L,TRUE)+SUMIFS(Matches!$J:$J,Matches!$C:$C,$A3,Matches!$L:$L,1)
+SUMIFS(Matches!$K:$K,Matches!$D:$D,$A3,Matches!$L:$L,TRUE)+SUMIFS(Matches!$K:$K,Matches!$D:$D,$A3,Matches!$L:$L,1)
)</f>
        <v>33</v>
      </c>
      <c r="J3" s="52">
        <f t="shared" ref="J3:J22" si="2">IF($A3="","",$AE3)</f>
        <v>0</v>
      </c>
      <c r="K3" s="52">
        <f>IF($A3="","",
$I3
+($Y3*Settings!$B$3)
+($Z3*Settings!$B$5)
+($AA3*Settings!$B$6)
+$AE3
)</f>
        <v>33</v>
      </c>
      <c r="L3" s="53">
        <f t="shared" ref="L3:L22" si="3">IF($A3="","",1+COUNTIFS($K$3:$K$22,"&gt;"&amp;$K3,$A$3:$A$22,"&lt;&gt;")+COUNTIFS($K$3:$K$22,$K3,$H$3:$H$22,"&gt;"&amp;$H3,$A$3:$A$22,"&lt;&gt;")+COUNTIFS($K$3:$K$22,$K3,$H$3:$H$22,$H3,$F$3:$F$22,"&gt;"&amp;$F3,$A$3:$A$22,"&lt;&gt;")+COUNTIFS($K$3:$K$22,$K3,$H$3:$H$22,$H3,$F$3:$F$22,$F3,$A$3:$A$22,"&lt;"&amp;$A3))</f>
        <v>6</v>
      </c>
      <c r="M3" s="54">
        <f>IF($A3="","",COUNTIFS(Matches!$C:$C,$A3,Matches!$I:$I,0,Matches!$L:$L,1)+COUNTIFS(Matches!$D:$D,$A3,Matches!$H:$H,0,Matches!$L:$L,1))</f>
        <v>1</v>
      </c>
      <c r="N3" s="55">
        <f t="shared" ref="N3:N22" si="4">IF($A3="","",IF($B3=0,"",$F3/$B3))</f>
        <v>5.315789474</v>
      </c>
      <c r="O3" s="55">
        <f t="shared" ref="O3:O22" si="5">IF($A3="","",IF($B3=0,"",$G3/$B3))</f>
        <v>4.578947368</v>
      </c>
      <c r="P3" s="56">
        <f t="shared" ref="P3:P22" si="6">IF($A3="","",IF($B3=0,"",$C3/$B3))</f>
        <v>0.5263157895</v>
      </c>
      <c r="Q3" s="54">
        <f>IF($A3="","",MAX(IFERROR(MAXIFS(Matches!$U:$U,Matches!$C:$C,$A3,Matches!$M:$M,1),0),IFERROR(MAXIFS(Matches!$V:$V,Matches!$D:$D,$A3,Matches!$P:$P,1),0)))</f>
        <v>7</v>
      </c>
      <c r="R3" s="54">
        <f>IF($A3="","",MAX(IFERROR(MAXIFS(Matches!$W:$W,Matches!$C:$C,$A3,Matches!$O:$O,1),0),IFERROR(MAXIFS(Matches!$X:$X,Matches!$D:$D,$A3,Matches!$R:$R,1),0)))</f>
        <v>4</v>
      </c>
      <c r="S3" s="54">
        <f>IF($A3="","",COUNTIFS(Matches!$G:$G,"Walkover_Home",Matches!$D:$D,$A3)+COUNTIFS(Matches!$G:$G,"Walkover_Away",Matches!$C:$C,$A3))</f>
        <v>1</v>
      </c>
      <c r="T3" s="54">
        <f>IF($A3="","",COUNTIFS(Matches!$G:$G,"Walkover_Home",Matches!$C:$C,$A3)+COUNTIFS(Matches!$G:$G,"Walkover_Away",Matches!$D:$D,$A3))</f>
        <v>1</v>
      </c>
      <c r="U3" s="55">
        <f t="shared" ref="U3:U22" si="7">IF($A3="","",IF($B3=0,"",$K3/$B3))</f>
        <v>1.736842105</v>
      </c>
      <c r="V3" s="57">
        <f>IFERROR(__xludf.DUMMYFUNCTION("IF($A3="""","""",IFERROR(
  SUM(
    INDEX(
      QUERY(
        SORT(FILTER({Log!A:A,Log!G:G},Log!B:B=$A3),1,FALSE),
        ""select Col2 limit 5"",
        0
      ),
    ,1)
  ),
0))"),4.0)</f>
        <v>4</v>
      </c>
      <c r="W3" s="57">
        <f t="shared" ref="W3:W22" si="8">IF($A3="","",ROUND(100*V3/15,2))</f>
        <v>26.67</v>
      </c>
      <c r="X3" s="57">
        <f>IF($A3="","",IFERROR(SUMIFS(Adjustments!$D:$D,Adjustments!$B:$B,$A3,Adjustments!$C:$C,"MP"),0))</f>
        <v>0</v>
      </c>
      <c r="Y3" s="57">
        <f>IF($A3="","",IFERROR(SUMIFS(Adjustments!$D:$D,Adjustments!$B:$B,$A3,Adjustments!$C:$C,"W"),0))</f>
        <v>0</v>
      </c>
      <c r="Z3" s="57">
        <f>IF($A3="","",IFERROR(SUMIFS(Adjustments!$D:$D,Adjustments!$B:$B,$A3,Adjustments!$C:$C,"D"),0))</f>
        <v>0</v>
      </c>
      <c r="AA3" s="57">
        <f>IF($A3="","",IFERROR(SUMIFS(Adjustments!$D:$D,Adjustments!$B:$B,$A3,Adjustments!$C:$C,"L"),0))</f>
        <v>0</v>
      </c>
      <c r="AB3" s="57">
        <f>IF($A3="","",IFERROR(SUMIFS(Adjustments!$D:$D,Adjustments!$B:$B,$A3,Adjustments!$C:$C,"GF"),0))</f>
        <v>0</v>
      </c>
      <c r="AC3" s="57">
        <f>IF($A3="","",IFERROR(SUMIFS(Adjustments!$D:$D,Adjustments!$B:$B,$A3,Adjustments!$C:$C,"GA"),0))</f>
        <v>0</v>
      </c>
      <c r="AD3" s="57">
        <f>IF($A3="","",IFERROR(SUMIFS(Adjustments!$D:$D,Adjustments!$B:$B,$A3,Adjustments!$C:$C,"GD"),0))</f>
        <v>0</v>
      </c>
      <c r="AE3" s="57">
        <f>IF($A3="","",IFERROR(SUMIFS(Adjustments!$D:$D,Adjustments!$B:$B,$A3,Adjustments!$C:$C,"PTS"),0))</f>
        <v>0</v>
      </c>
    </row>
    <row r="4">
      <c r="A4" s="32" t="str">
        <f>IF(Players!$B4="","",Players!$B4)</f>
        <v>ANIFE</v>
      </c>
      <c r="B4" s="52">
        <f>IF($A4="","",(COUNTIFS(Matches!$C:$C,$A4,Matches!$L:$L,1)+COUNTIFS(Matches!$D:$D,$A4,Matches!$L:$L,1)) + $X4)</f>
        <v>19</v>
      </c>
      <c r="C4" s="52">
        <f>IF($A4="","",
COUNTIFS(Matches!$C:$C,$A4,Matches!$M:$M,TRUE)+COUNTIFS(Matches!$C:$C,$A4,Matches!$M:$M,1)
+COUNTIFS(Matches!$D:$D,$A4,Matches!$P:$P,TRUE)+COUNTIFS(Matches!$D:$D,$A4,Matches!$P:$P,1)
+$Y4)</f>
        <v>11</v>
      </c>
      <c r="D4" s="52">
        <f>IF($A4="","",
COUNTIFS(Matches!$C:$C,$A4,Matches!$N:$N,TRUE)+COUNTIFS(Matches!$C:$C,$A4,Matches!$N:$N,1)
+COUNTIFS(Matches!$D:$D,$A4,Matches!$Q:$Q,TRUE)+COUNTIFS(Matches!$D:$D,$A4,Matches!$Q:$Q,1)
+$Z4)</f>
        <v>3</v>
      </c>
      <c r="E4" s="52">
        <f>IF($A4="","",
COUNTIFS(Matches!$C:$C,$A4,Matches!$O:$O,TRUE)+COUNTIFS(Matches!$C:$C,$A4,Matches!$O:$O,1)
+COUNTIFS(Matches!$D:$D,$A4,Matches!$R:$R,TRUE)+COUNTIFS(Matches!$D:$D,$A4,Matches!$R:$R,1)
+$AA4)</f>
        <v>5</v>
      </c>
      <c r="F4" s="52">
        <f>IF($A4="","",(SUMIFS(Matches!$H:$H,Matches!$C:$C,$A4)+SUMIFS(Matches!$I:$I,Matches!$D:$D,$A4)) + $AB4)</f>
        <v>117</v>
      </c>
      <c r="G4" s="52">
        <f>IF($A4="","",(SUMIFS(Matches!$I:$I,Matches!$C:$C,$A4)+SUMIFS(Matches!$H:$H,Matches!$D:$D,$A4)) + $AC4)</f>
        <v>81</v>
      </c>
      <c r="H4" s="52">
        <f t="shared" si="1"/>
        <v>36</v>
      </c>
      <c r="I4" s="52">
        <f>IF($A4="","",
SUMIFS(Matches!$J:$J,Matches!$C:$C,$A4,Matches!$L:$L,TRUE)+SUMIFS(Matches!$J:$J,Matches!$C:$C,$A4,Matches!$L:$L,1)
+SUMIFS(Matches!$K:$K,Matches!$D:$D,$A4,Matches!$L:$L,TRUE)+SUMIFS(Matches!$K:$K,Matches!$D:$D,$A4,Matches!$L:$L,1)
)</f>
        <v>36</v>
      </c>
      <c r="J4" s="52">
        <f t="shared" si="2"/>
        <v>0</v>
      </c>
      <c r="K4" s="52">
        <f>IF($A4="","",
$I4
+($Y4*Settings!$B$3)
+($Z4*Settings!$B$5)
+($AA4*Settings!$B$6)
+$AE4
)</f>
        <v>36</v>
      </c>
      <c r="L4" s="53">
        <f t="shared" si="3"/>
        <v>4</v>
      </c>
      <c r="M4" s="54">
        <f>IF($A4="","",COUNTIFS(Matches!$C:$C,$A4,Matches!$I:$I,0,Matches!$L:$L,1)+COUNTIFS(Matches!$D:$D,$A4,Matches!$H:$H,0,Matches!$L:$L,1))</f>
        <v>2</v>
      </c>
      <c r="N4" s="55">
        <f t="shared" si="4"/>
        <v>6.157894737</v>
      </c>
      <c r="O4" s="55">
        <f t="shared" si="5"/>
        <v>4.263157895</v>
      </c>
      <c r="P4" s="56">
        <f t="shared" si="6"/>
        <v>0.5789473684</v>
      </c>
      <c r="Q4" s="54">
        <f>IF($A4="","",MAX(IFERROR(MAXIFS(Matches!$U:$U,Matches!$C:$C,$A4,Matches!$M:$M,1),0),IFERROR(MAXIFS(Matches!$V:$V,Matches!$D:$D,$A4,Matches!$P:$P,1),0)))</f>
        <v>14</v>
      </c>
      <c r="R4" s="54">
        <f>IF($A4="","",MAX(IFERROR(MAXIFS(Matches!$W:$W,Matches!$C:$C,$A4,Matches!$O:$O,1),0),IFERROR(MAXIFS(Matches!$X:$X,Matches!$D:$D,$A4,Matches!$R:$R,1),0)))</f>
        <v>2</v>
      </c>
      <c r="S4" s="54">
        <f>IF($A4="","",COUNTIFS(Matches!$G:$G,"Walkover_Home",Matches!$D:$D,$A4)+COUNTIFS(Matches!$G:$G,"Walkover_Away",Matches!$C:$C,$A4))</f>
        <v>0</v>
      </c>
      <c r="T4" s="54">
        <f>IF($A4="","",COUNTIFS(Matches!$G:$G,"Walkover_Home",Matches!$C:$C,$A4)+COUNTIFS(Matches!$G:$G,"Walkover_Away",Matches!$D:$D,$A4))</f>
        <v>2</v>
      </c>
      <c r="U4" s="55">
        <f t="shared" si="7"/>
        <v>1.894736842</v>
      </c>
      <c r="V4" s="57">
        <f>IFERROR(__xludf.DUMMYFUNCTION("IF($A4="""","""",IFERROR(
  SUM(
    INDEX(
      QUERY(
        SORT(FILTER({Log!A:A,Log!G:G},Log!B:B=$A4),1,FALSE),
        ""select Col2 limit 5"",
        0
      ),
    ,1)
  ),
0))"),11.0)</f>
        <v>11</v>
      </c>
      <c r="W4" s="57">
        <f t="shared" si="8"/>
        <v>73.33</v>
      </c>
      <c r="X4" s="57">
        <f>IF($A4="","",IFERROR(SUMIFS(Adjustments!$D:$D,Adjustments!$B:$B,$A4,Adjustments!$C:$C,"MP"),0))</f>
        <v>0</v>
      </c>
      <c r="Y4" s="57">
        <f>IF($A4="","",IFERROR(SUMIFS(Adjustments!$D:$D,Adjustments!$B:$B,$A4,Adjustments!$C:$C,"W"),0))</f>
        <v>0</v>
      </c>
      <c r="Z4" s="57">
        <f>IF($A4="","",IFERROR(SUMIFS(Adjustments!$D:$D,Adjustments!$B:$B,$A4,Adjustments!$C:$C,"D"),0))</f>
        <v>0</v>
      </c>
      <c r="AA4" s="57">
        <f>IF($A4="","",IFERROR(SUMIFS(Adjustments!$D:$D,Adjustments!$B:$B,$A4,Adjustments!$C:$C,"L"),0))</f>
        <v>0</v>
      </c>
      <c r="AB4" s="57">
        <f>IF($A4="","",IFERROR(SUMIFS(Adjustments!$D:$D,Adjustments!$B:$B,$A4,Adjustments!$C:$C,"GF"),0))</f>
        <v>0</v>
      </c>
      <c r="AC4" s="57">
        <f>IF($A4="","",IFERROR(SUMIFS(Adjustments!$D:$D,Adjustments!$B:$B,$A4,Adjustments!$C:$C,"GA"),0))</f>
        <v>0</v>
      </c>
      <c r="AD4" s="57">
        <f>IF($A4="","",IFERROR(SUMIFS(Adjustments!$D:$D,Adjustments!$B:$B,$A4,Adjustments!$C:$C,"GD"),0))</f>
        <v>0</v>
      </c>
      <c r="AE4" s="57">
        <f>IF($A4="","",IFERROR(SUMIFS(Adjustments!$D:$D,Adjustments!$B:$B,$A4,Adjustments!$C:$C,"PTS"),0))</f>
        <v>0</v>
      </c>
    </row>
    <row r="5">
      <c r="A5" s="32" t="str">
        <f>IF(Players!$B5="","",Players!$B5)</f>
        <v>BAJI SNR</v>
      </c>
      <c r="B5" s="52">
        <f>IF($A5="","",(COUNTIFS(Matches!$C:$C,$A5,Matches!$L:$L,1)+COUNTIFS(Matches!$D:$D,$A5,Matches!$L:$L,1)) + $X5)</f>
        <v>19</v>
      </c>
      <c r="C5" s="52">
        <f>IF($A5="","",
COUNTIFS(Matches!$C:$C,$A5,Matches!$M:$M,TRUE)+COUNTIFS(Matches!$C:$C,$A5,Matches!$M:$M,1)
+COUNTIFS(Matches!$D:$D,$A5,Matches!$P:$P,TRUE)+COUNTIFS(Matches!$D:$D,$A5,Matches!$P:$P,1)
+$Y5)</f>
        <v>4</v>
      </c>
      <c r="D5" s="52">
        <f>IF($A5="","",
COUNTIFS(Matches!$C:$C,$A5,Matches!$N:$N,TRUE)+COUNTIFS(Matches!$C:$C,$A5,Matches!$N:$N,1)
+COUNTIFS(Matches!$D:$D,$A5,Matches!$Q:$Q,TRUE)+COUNTIFS(Matches!$D:$D,$A5,Matches!$Q:$Q,1)
+$Z5)</f>
        <v>0</v>
      </c>
      <c r="E5" s="52">
        <f>IF($A5="","",
COUNTIFS(Matches!$C:$C,$A5,Matches!$O:$O,TRUE)+COUNTIFS(Matches!$C:$C,$A5,Matches!$O:$O,1)
+COUNTIFS(Matches!$D:$D,$A5,Matches!$R:$R,TRUE)+COUNTIFS(Matches!$D:$D,$A5,Matches!$R:$R,1)
+$AA5)</f>
        <v>15</v>
      </c>
      <c r="F5" s="52">
        <f>IF($A5="","",(SUMIFS(Matches!$H:$H,Matches!$C:$C,$A5)+SUMIFS(Matches!$I:$I,Matches!$D:$D,$A5)) + $AB5)</f>
        <v>42</v>
      </c>
      <c r="G5" s="52">
        <f>IF($A5="","",(SUMIFS(Matches!$I:$I,Matches!$C:$C,$A5)+SUMIFS(Matches!$H:$H,Matches!$D:$D,$A5)) + $AC5)</f>
        <v>70</v>
      </c>
      <c r="H5" s="52">
        <f t="shared" si="1"/>
        <v>-28</v>
      </c>
      <c r="I5" s="52">
        <f>IF($A5="","",
SUMIFS(Matches!$J:$J,Matches!$C:$C,$A5,Matches!$L:$L,TRUE)+SUMIFS(Matches!$J:$J,Matches!$C:$C,$A5,Matches!$L:$L,1)
+SUMIFS(Matches!$K:$K,Matches!$D:$D,$A5,Matches!$L:$L,TRUE)+SUMIFS(Matches!$K:$K,Matches!$D:$D,$A5,Matches!$L:$L,1)
)</f>
        <v>12</v>
      </c>
      <c r="J5" s="52">
        <f t="shared" si="2"/>
        <v>0</v>
      </c>
      <c r="K5" s="52">
        <f>IF($A5="","",
$I5
+($Y5*Settings!$B$3)
+($Z5*Settings!$B$5)
+($AA5*Settings!$B$6)
+$AE5
)</f>
        <v>12</v>
      </c>
      <c r="L5" s="53">
        <f t="shared" si="3"/>
        <v>17</v>
      </c>
      <c r="M5" s="54">
        <f>IF($A5="","",COUNTIFS(Matches!$C:$C,$A5,Matches!$I:$I,0,Matches!$L:$L,1)+COUNTIFS(Matches!$D:$D,$A5,Matches!$H:$H,0,Matches!$L:$L,1))</f>
        <v>2</v>
      </c>
      <c r="N5" s="55">
        <f t="shared" si="4"/>
        <v>2.210526316</v>
      </c>
      <c r="O5" s="55">
        <f t="shared" si="5"/>
        <v>3.684210526</v>
      </c>
      <c r="P5" s="56">
        <f t="shared" si="6"/>
        <v>0.2105263158</v>
      </c>
      <c r="Q5" s="54">
        <f>IF($A5="","",MAX(IFERROR(MAXIFS(Matches!$U:$U,Matches!$C:$C,$A5,Matches!$M:$M,1),0),IFERROR(MAXIFS(Matches!$V:$V,Matches!$D:$D,$A5,Matches!$P:$P,1),0)))</f>
        <v>7</v>
      </c>
      <c r="R5" s="54">
        <f>IF($A5="","",MAX(IFERROR(MAXIFS(Matches!$W:$W,Matches!$C:$C,$A5,Matches!$O:$O,1),0),IFERROR(MAXIFS(Matches!$X:$X,Matches!$D:$D,$A5,Matches!$R:$R,1),0)))</f>
        <v>5</v>
      </c>
      <c r="S5" s="54">
        <f>IF($A5="","",COUNTIFS(Matches!$G:$G,"Walkover_Home",Matches!$D:$D,$A5)+COUNTIFS(Matches!$G:$G,"Walkover_Away",Matches!$C:$C,$A5))</f>
        <v>5</v>
      </c>
      <c r="T5" s="54">
        <f>IF($A5="","",COUNTIFS(Matches!$G:$G,"Walkover_Home",Matches!$C:$C,$A5)+COUNTIFS(Matches!$G:$G,"Walkover_Away",Matches!$D:$D,$A5))</f>
        <v>2</v>
      </c>
      <c r="U5" s="55">
        <f t="shared" si="7"/>
        <v>0.6315789474</v>
      </c>
      <c r="V5" s="57">
        <f>IFERROR(__xludf.DUMMYFUNCTION("IF($A5="""","""",IFERROR(
  SUM(
    INDEX(
      QUERY(
        SORT(FILTER({Log!A:A,Log!G:G},Log!B:B=$A5),1,FALSE),
        ""select Col2 limit 5"",
        0
      ),
    ,1)
  ),
0))"),3.0)</f>
        <v>3</v>
      </c>
      <c r="W5" s="57">
        <f t="shared" si="8"/>
        <v>20</v>
      </c>
      <c r="X5" s="57">
        <f>IF($A5="","",IFERROR(SUMIFS(Adjustments!$D:$D,Adjustments!$B:$B,$A5,Adjustments!$C:$C,"MP"),0))</f>
        <v>0</v>
      </c>
      <c r="Y5" s="57">
        <f>IF($A5="","",IFERROR(SUMIFS(Adjustments!$D:$D,Adjustments!$B:$B,$A5,Adjustments!$C:$C,"W"),0))</f>
        <v>0</v>
      </c>
      <c r="Z5" s="57">
        <f>IF($A5="","",IFERROR(SUMIFS(Adjustments!$D:$D,Adjustments!$B:$B,$A5,Adjustments!$C:$C,"D"),0))</f>
        <v>0</v>
      </c>
      <c r="AA5" s="57">
        <f>IF($A5="","",IFERROR(SUMIFS(Adjustments!$D:$D,Adjustments!$B:$B,$A5,Adjustments!$C:$C,"L"),0))</f>
        <v>0</v>
      </c>
      <c r="AB5" s="57">
        <f>IF($A5="","",IFERROR(SUMIFS(Adjustments!$D:$D,Adjustments!$B:$B,$A5,Adjustments!$C:$C,"GF"),0))</f>
        <v>0</v>
      </c>
      <c r="AC5" s="57">
        <f>IF($A5="","",IFERROR(SUMIFS(Adjustments!$D:$D,Adjustments!$B:$B,$A5,Adjustments!$C:$C,"GA"),0))</f>
        <v>0</v>
      </c>
      <c r="AD5" s="57">
        <f>IF($A5="","",IFERROR(SUMIFS(Adjustments!$D:$D,Adjustments!$B:$B,$A5,Adjustments!$C:$C,"GD"),0))</f>
        <v>0</v>
      </c>
      <c r="AE5" s="57">
        <f>IF($A5="","",IFERROR(SUMIFS(Adjustments!$D:$D,Adjustments!$B:$B,$A5,Adjustments!$C:$C,"PTS"),0))</f>
        <v>0</v>
      </c>
    </row>
    <row r="6">
      <c r="A6" s="32" t="str">
        <f>IF(Players!$B6="","",Players!$B6)</f>
        <v>GURU</v>
      </c>
      <c r="B6" s="52">
        <f>IF($A6="","",(COUNTIFS(Matches!$C:$C,$A6,Matches!$L:$L,1)+COUNTIFS(Matches!$D:$D,$A6,Matches!$L:$L,1)) + $X6)</f>
        <v>19</v>
      </c>
      <c r="C6" s="52">
        <f>IF($A6="","",
COUNTIFS(Matches!$C:$C,$A6,Matches!$M:$M,TRUE)+COUNTIFS(Matches!$C:$C,$A6,Matches!$M:$M,1)
+COUNTIFS(Matches!$D:$D,$A6,Matches!$P:$P,TRUE)+COUNTIFS(Matches!$D:$D,$A6,Matches!$P:$P,1)
+$Y6)</f>
        <v>11</v>
      </c>
      <c r="D6" s="52">
        <f>IF($A6="","",
COUNTIFS(Matches!$C:$C,$A6,Matches!$N:$N,TRUE)+COUNTIFS(Matches!$C:$C,$A6,Matches!$N:$N,1)
+COUNTIFS(Matches!$D:$D,$A6,Matches!$Q:$Q,TRUE)+COUNTIFS(Matches!$D:$D,$A6,Matches!$Q:$Q,1)
+$Z6)</f>
        <v>4</v>
      </c>
      <c r="E6" s="52">
        <f>IF($A6="","",
COUNTIFS(Matches!$C:$C,$A6,Matches!$O:$O,TRUE)+COUNTIFS(Matches!$C:$C,$A6,Matches!$O:$O,1)
+COUNTIFS(Matches!$D:$D,$A6,Matches!$R:$R,TRUE)+COUNTIFS(Matches!$D:$D,$A6,Matches!$R:$R,1)
+$AA6)</f>
        <v>4</v>
      </c>
      <c r="F6" s="52">
        <f>IF($A6="","",(SUMIFS(Matches!$H:$H,Matches!$C:$C,$A6)+SUMIFS(Matches!$I:$I,Matches!$D:$D,$A6)) + $AB6)</f>
        <v>109</v>
      </c>
      <c r="G6" s="52">
        <f>IF($A6="","",(SUMIFS(Matches!$I:$I,Matches!$C:$C,$A6)+SUMIFS(Matches!$H:$H,Matches!$D:$D,$A6)) + $AC6)</f>
        <v>76</v>
      </c>
      <c r="H6" s="52">
        <f t="shared" si="1"/>
        <v>33</v>
      </c>
      <c r="I6" s="52">
        <f>IF($A6="","",
SUMIFS(Matches!$J:$J,Matches!$C:$C,$A6,Matches!$L:$L,TRUE)+SUMIFS(Matches!$J:$J,Matches!$C:$C,$A6,Matches!$L:$L,1)
+SUMIFS(Matches!$K:$K,Matches!$D:$D,$A6,Matches!$L:$L,TRUE)+SUMIFS(Matches!$K:$K,Matches!$D:$D,$A6,Matches!$L:$L,1)
)</f>
        <v>37</v>
      </c>
      <c r="J6" s="52">
        <f t="shared" si="2"/>
        <v>0</v>
      </c>
      <c r="K6" s="52">
        <f>IF($A6="","",
$I6
+($Y6*Settings!$B$3)
+($Z6*Settings!$B$5)
+($AA6*Settings!$B$6)
+$AE6
)</f>
        <v>37</v>
      </c>
      <c r="L6" s="53">
        <f t="shared" si="3"/>
        <v>3</v>
      </c>
      <c r="M6" s="54">
        <f>IF($A6="","",COUNTIFS(Matches!$C:$C,$A6,Matches!$I:$I,0,Matches!$L:$L,1)+COUNTIFS(Matches!$D:$D,$A6,Matches!$H:$H,0,Matches!$L:$L,1))</f>
        <v>1</v>
      </c>
      <c r="N6" s="55">
        <f t="shared" si="4"/>
        <v>5.736842105</v>
      </c>
      <c r="O6" s="55">
        <f t="shared" si="5"/>
        <v>4</v>
      </c>
      <c r="P6" s="56">
        <f t="shared" si="6"/>
        <v>0.5789473684</v>
      </c>
      <c r="Q6" s="54">
        <f>IF($A6="","",MAX(IFERROR(MAXIFS(Matches!$U:$U,Matches!$C:$C,$A6,Matches!$M:$M,1),0),IFERROR(MAXIFS(Matches!$V:$V,Matches!$D:$D,$A6,Matches!$P:$P,1),0)))</f>
        <v>13</v>
      </c>
      <c r="R6" s="54">
        <f>IF($A6="","",MAX(IFERROR(MAXIFS(Matches!$W:$W,Matches!$C:$C,$A6,Matches!$O:$O,1),0),IFERROR(MAXIFS(Matches!$X:$X,Matches!$D:$D,$A6,Matches!$R:$R,1),0)))</f>
        <v>3</v>
      </c>
      <c r="S6" s="54">
        <f>IF($A6="","",COUNTIFS(Matches!$G:$G,"Walkover_Home",Matches!$D:$D,$A6)+COUNTIFS(Matches!$G:$G,"Walkover_Away",Matches!$C:$C,$A6))</f>
        <v>0</v>
      </c>
      <c r="T6" s="54">
        <f>IF($A6="","",COUNTIFS(Matches!$G:$G,"Walkover_Home",Matches!$C:$C,$A6)+COUNTIFS(Matches!$G:$G,"Walkover_Away",Matches!$D:$D,$A6))</f>
        <v>0</v>
      </c>
      <c r="U6" s="55">
        <f t="shared" si="7"/>
        <v>1.947368421</v>
      </c>
      <c r="V6" s="57">
        <f>IFERROR(__xludf.DUMMYFUNCTION("IF($A6="""","""",IFERROR(
  SUM(
    INDEX(
      QUERY(
        SORT(FILTER({Log!A:A,Log!G:G},Log!B:B=$A6),1,FALSE),
        ""select Col2 limit 5"",
        0
      ),
    ,1)
  ),
0))"),12.0)</f>
        <v>12</v>
      </c>
      <c r="W6" s="57">
        <f t="shared" si="8"/>
        <v>80</v>
      </c>
      <c r="X6" s="57">
        <f>IF($A6="","",IFERROR(SUMIFS(Adjustments!$D:$D,Adjustments!$B:$B,$A6,Adjustments!$C:$C,"MP"),0))</f>
        <v>0</v>
      </c>
      <c r="Y6" s="57">
        <f>IF($A6="","",IFERROR(SUMIFS(Adjustments!$D:$D,Adjustments!$B:$B,$A6,Adjustments!$C:$C,"W"),0))</f>
        <v>0</v>
      </c>
      <c r="Z6" s="57">
        <f>IF($A6="","",IFERROR(SUMIFS(Adjustments!$D:$D,Adjustments!$B:$B,$A6,Adjustments!$C:$C,"D"),0))</f>
        <v>0</v>
      </c>
      <c r="AA6" s="57">
        <f>IF($A6="","",IFERROR(SUMIFS(Adjustments!$D:$D,Adjustments!$B:$B,$A6,Adjustments!$C:$C,"L"),0))</f>
        <v>0</v>
      </c>
      <c r="AB6" s="57">
        <f>IF($A6="","",IFERROR(SUMIFS(Adjustments!$D:$D,Adjustments!$B:$B,$A6,Adjustments!$C:$C,"GF"),0))</f>
        <v>0</v>
      </c>
      <c r="AC6" s="57">
        <f>IF($A6="","",IFERROR(SUMIFS(Adjustments!$D:$D,Adjustments!$B:$B,$A6,Adjustments!$C:$C,"GA"),0))</f>
        <v>0</v>
      </c>
      <c r="AD6" s="57">
        <f>IF($A6="","",IFERROR(SUMIFS(Adjustments!$D:$D,Adjustments!$B:$B,$A6,Adjustments!$C:$C,"GD"),0))</f>
        <v>0</v>
      </c>
      <c r="AE6" s="57">
        <f>IF($A6="","",IFERROR(SUMIFS(Adjustments!$D:$D,Adjustments!$B:$B,$A6,Adjustments!$C:$C,"PTS"),0))</f>
        <v>0</v>
      </c>
    </row>
    <row r="7">
      <c r="A7" s="32" t="str">
        <f>IF(Players!$B7="","",Players!$B7)</f>
        <v>KAYKAY</v>
      </c>
      <c r="B7" s="52">
        <f>IF($A7="","",(COUNTIFS(Matches!$C:$C,$A7,Matches!$L:$L,1)+COUNTIFS(Matches!$D:$D,$A7,Matches!$L:$L,1)) + $X7)</f>
        <v>19</v>
      </c>
      <c r="C7" s="52">
        <f>IF($A7="","",
COUNTIFS(Matches!$C:$C,$A7,Matches!$M:$M,TRUE)+COUNTIFS(Matches!$C:$C,$A7,Matches!$M:$M,1)
+COUNTIFS(Matches!$D:$D,$A7,Matches!$P:$P,TRUE)+COUNTIFS(Matches!$D:$D,$A7,Matches!$P:$P,1)
+$Y7)</f>
        <v>14</v>
      </c>
      <c r="D7" s="52">
        <f>IF($A7="","",
COUNTIFS(Matches!$C:$C,$A7,Matches!$N:$N,TRUE)+COUNTIFS(Matches!$C:$C,$A7,Matches!$N:$N,1)
+COUNTIFS(Matches!$D:$D,$A7,Matches!$Q:$Q,TRUE)+COUNTIFS(Matches!$D:$D,$A7,Matches!$Q:$Q,1)
+$Z7)</f>
        <v>2</v>
      </c>
      <c r="E7" s="52">
        <f>IF($A7="","",
COUNTIFS(Matches!$C:$C,$A7,Matches!$O:$O,TRUE)+COUNTIFS(Matches!$C:$C,$A7,Matches!$O:$O,1)
+COUNTIFS(Matches!$D:$D,$A7,Matches!$R:$R,TRUE)+COUNTIFS(Matches!$D:$D,$A7,Matches!$R:$R,1)
+$AA7)</f>
        <v>3</v>
      </c>
      <c r="F7" s="52">
        <f>IF($A7="","",(SUMIFS(Matches!$H:$H,Matches!$C:$C,$A7)+SUMIFS(Matches!$I:$I,Matches!$D:$D,$A7)) + $AB7)</f>
        <v>108</v>
      </c>
      <c r="G7" s="52">
        <f>IF($A7="","",(SUMIFS(Matches!$I:$I,Matches!$C:$C,$A7)+SUMIFS(Matches!$H:$H,Matches!$D:$D,$A7)) + $AC7)</f>
        <v>73</v>
      </c>
      <c r="H7" s="52">
        <f t="shared" si="1"/>
        <v>35</v>
      </c>
      <c r="I7" s="52">
        <f>IF($A7="","",
SUMIFS(Matches!$J:$J,Matches!$C:$C,$A7,Matches!$L:$L,TRUE)+SUMIFS(Matches!$J:$J,Matches!$C:$C,$A7,Matches!$L:$L,1)
+SUMIFS(Matches!$K:$K,Matches!$D:$D,$A7,Matches!$L:$L,TRUE)+SUMIFS(Matches!$K:$K,Matches!$D:$D,$A7,Matches!$L:$L,1)
)</f>
        <v>44</v>
      </c>
      <c r="J7" s="52">
        <f t="shared" si="2"/>
        <v>0</v>
      </c>
      <c r="K7" s="52">
        <f>IF($A7="","",
$I7
+($Y7*Settings!$B$3)
+($Z7*Settings!$B$5)
+($AA7*Settings!$B$6)
+$AE7
)</f>
        <v>44</v>
      </c>
      <c r="L7" s="53">
        <f t="shared" si="3"/>
        <v>2</v>
      </c>
      <c r="M7" s="54">
        <f>IF($A7="","",COUNTIFS(Matches!$C:$C,$A7,Matches!$I:$I,0,Matches!$L:$L,1)+COUNTIFS(Matches!$D:$D,$A7,Matches!$H:$H,0,Matches!$L:$L,1))</f>
        <v>3</v>
      </c>
      <c r="N7" s="55">
        <f t="shared" si="4"/>
        <v>5.684210526</v>
      </c>
      <c r="O7" s="55">
        <f t="shared" si="5"/>
        <v>3.842105263</v>
      </c>
      <c r="P7" s="56">
        <f t="shared" si="6"/>
        <v>0.7368421053</v>
      </c>
      <c r="Q7" s="54">
        <f>IF($A7="","",MAX(IFERROR(MAXIFS(Matches!$U:$U,Matches!$C:$C,$A7,Matches!$M:$M,1),0),IFERROR(MAXIFS(Matches!$V:$V,Matches!$D:$D,$A7,Matches!$P:$P,1),0)))</f>
        <v>8</v>
      </c>
      <c r="R7" s="54">
        <f>IF($A7="","",MAX(IFERROR(MAXIFS(Matches!$W:$W,Matches!$C:$C,$A7,Matches!$O:$O,1),0),IFERROR(MAXIFS(Matches!$X:$X,Matches!$D:$D,$A7,Matches!$R:$R,1),0)))</f>
        <v>6</v>
      </c>
      <c r="S7" s="54">
        <f>IF($A7="","",COUNTIFS(Matches!$G:$G,"Walkover_Home",Matches!$D:$D,$A7)+COUNTIFS(Matches!$G:$G,"Walkover_Away",Matches!$C:$C,$A7))</f>
        <v>0</v>
      </c>
      <c r="T7" s="54">
        <f>IF($A7="","",COUNTIFS(Matches!$G:$G,"Walkover_Home",Matches!$C:$C,$A7)+COUNTIFS(Matches!$G:$G,"Walkover_Away",Matches!$D:$D,$A7))</f>
        <v>2</v>
      </c>
      <c r="U7" s="55">
        <f t="shared" si="7"/>
        <v>2.315789474</v>
      </c>
      <c r="V7" s="57">
        <f>IFERROR(__xludf.DUMMYFUNCTION("IF($A7="""","""",IFERROR(
  SUM(
    INDEX(
      QUERY(
        SORT(FILTER({Log!A:A,Log!G:G},Log!B:B=$A7),1,FALSE),
        ""select Col2 limit 5"",
        0
      ),
    ,1)
  ),
0))"),15.0)</f>
        <v>15</v>
      </c>
      <c r="W7" s="57">
        <f t="shared" si="8"/>
        <v>100</v>
      </c>
      <c r="X7" s="57">
        <f>IF($A7="","",IFERROR(SUMIFS(Adjustments!$D:$D,Adjustments!$B:$B,$A7,Adjustments!$C:$C,"MP"),0))</f>
        <v>0</v>
      </c>
      <c r="Y7" s="57">
        <f>IF($A7="","",IFERROR(SUMIFS(Adjustments!$D:$D,Adjustments!$B:$B,$A7,Adjustments!$C:$C,"W"),0))</f>
        <v>0</v>
      </c>
      <c r="Z7" s="57">
        <f>IF($A7="","",IFERROR(SUMIFS(Adjustments!$D:$D,Adjustments!$B:$B,$A7,Adjustments!$C:$C,"D"),0))</f>
        <v>0</v>
      </c>
      <c r="AA7" s="57">
        <f>IF($A7="","",IFERROR(SUMIFS(Adjustments!$D:$D,Adjustments!$B:$B,$A7,Adjustments!$C:$C,"L"),0))</f>
        <v>0</v>
      </c>
      <c r="AB7" s="57">
        <f>IF($A7="","",IFERROR(SUMIFS(Adjustments!$D:$D,Adjustments!$B:$B,$A7,Adjustments!$C:$C,"GF"),0))</f>
        <v>0</v>
      </c>
      <c r="AC7" s="57">
        <f>IF($A7="","",IFERROR(SUMIFS(Adjustments!$D:$D,Adjustments!$B:$B,$A7,Adjustments!$C:$C,"GA"),0))</f>
        <v>0</v>
      </c>
      <c r="AD7" s="57">
        <f>IF($A7="","",IFERROR(SUMIFS(Adjustments!$D:$D,Adjustments!$B:$B,$A7,Adjustments!$C:$C,"GD"),0))</f>
        <v>0</v>
      </c>
      <c r="AE7" s="57">
        <f>IF($A7="","",IFERROR(SUMIFS(Adjustments!$D:$D,Adjustments!$B:$B,$A7,Adjustments!$C:$C,"PTS"),0))</f>
        <v>0</v>
      </c>
    </row>
    <row r="8">
      <c r="A8" s="32" t="str">
        <f>IF(Players!$B8="","",Players!$B8)</f>
        <v>TACTICAL</v>
      </c>
      <c r="B8" s="52">
        <f>IF($A8="","",(COUNTIFS(Matches!$C:$C,$A8,Matches!$L:$L,1)+COUNTIFS(Matches!$D:$D,$A8,Matches!$L:$L,1)) + $X8)</f>
        <v>19</v>
      </c>
      <c r="C8" s="52">
        <f>IF($A8="","",
COUNTIFS(Matches!$C:$C,$A8,Matches!$M:$M,TRUE)+COUNTIFS(Matches!$C:$C,$A8,Matches!$M:$M,1)
+COUNTIFS(Matches!$D:$D,$A8,Matches!$P:$P,TRUE)+COUNTIFS(Matches!$D:$D,$A8,Matches!$P:$P,1)
+$Y8)</f>
        <v>11</v>
      </c>
      <c r="D8" s="52">
        <f>IF($A8="","",
COUNTIFS(Matches!$C:$C,$A8,Matches!$N:$N,TRUE)+COUNTIFS(Matches!$C:$C,$A8,Matches!$N:$N,1)
+COUNTIFS(Matches!$D:$D,$A8,Matches!$Q:$Q,TRUE)+COUNTIFS(Matches!$D:$D,$A8,Matches!$Q:$Q,1)
+$Z8)</f>
        <v>2</v>
      </c>
      <c r="E8" s="52">
        <f>IF($A8="","",
COUNTIFS(Matches!$C:$C,$A8,Matches!$O:$O,TRUE)+COUNTIFS(Matches!$C:$C,$A8,Matches!$O:$O,1)
+COUNTIFS(Matches!$D:$D,$A8,Matches!$R:$R,TRUE)+COUNTIFS(Matches!$D:$D,$A8,Matches!$R:$R,1)
+$AA8)</f>
        <v>6</v>
      </c>
      <c r="F8" s="52">
        <f>IF($A8="","",(SUMIFS(Matches!$H:$H,Matches!$C:$C,$A8)+SUMIFS(Matches!$I:$I,Matches!$D:$D,$A8)) + $AB8)</f>
        <v>93</v>
      </c>
      <c r="G8" s="52">
        <f>IF($A8="","",(SUMIFS(Matches!$I:$I,Matches!$C:$C,$A8)+SUMIFS(Matches!$H:$H,Matches!$D:$D,$A8)) + $AC8)</f>
        <v>75</v>
      </c>
      <c r="H8" s="52">
        <f t="shared" si="1"/>
        <v>18</v>
      </c>
      <c r="I8" s="52">
        <f>IF($A8="","",
SUMIFS(Matches!$J:$J,Matches!$C:$C,$A8,Matches!$L:$L,TRUE)+SUMIFS(Matches!$J:$J,Matches!$C:$C,$A8,Matches!$L:$L,1)
+SUMIFS(Matches!$K:$K,Matches!$D:$D,$A8,Matches!$L:$L,TRUE)+SUMIFS(Matches!$K:$K,Matches!$D:$D,$A8,Matches!$L:$L,1)
)</f>
        <v>35</v>
      </c>
      <c r="J8" s="52">
        <f t="shared" si="2"/>
        <v>0</v>
      </c>
      <c r="K8" s="52">
        <f>IF($A8="","",
$I8
+($Y8*Settings!$B$3)
+($Z8*Settings!$B$5)
+($AA8*Settings!$B$6)
+$AE8
)</f>
        <v>35</v>
      </c>
      <c r="L8" s="53">
        <f t="shared" si="3"/>
        <v>5</v>
      </c>
      <c r="M8" s="54">
        <f>IF($A8="","",COUNTIFS(Matches!$C:$C,$A8,Matches!$I:$I,0,Matches!$L:$L,1)+COUNTIFS(Matches!$D:$D,$A8,Matches!$H:$H,0,Matches!$L:$L,1))</f>
        <v>2</v>
      </c>
      <c r="N8" s="55">
        <f t="shared" si="4"/>
        <v>4.894736842</v>
      </c>
      <c r="O8" s="55">
        <f t="shared" si="5"/>
        <v>3.947368421</v>
      </c>
      <c r="P8" s="56">
        <f t="shared" si="6"/>
        <v>0.5789473684</v>
      </c>
      <c r="Q8" s="54">
        <f>IF($A8="","",MAX(IFERROR(MAXIFS(Matches!$U:$U,Matches!$C:$C,$A8,Matches!$M:$M,1),0),IFERROR(MAXIFS(Matches!$V:$V,Matches!$D:$D,$A8,Matches!$P:$P,1),0)))</f>
        <v>11</v>
      </c>
      <c r="R8" s="54">
        <f>IF($A8="","",MAX(IFERROR(MAXIFS(Matches!$W:$W,Matches!$C:$C,$A8,Matches!$O:$O,1),0),IFERROR(MAXIFS(Matches!$X:$X,Matches!$D:$D,$A8,Matches!$R:$R,1),0)))</f>
        <v>4</v>
      </c>
      <c r="S8" s="54">
        <f>IF($A8="","",COUNTIFS(Matches!$G:$G,"Walkover_Home",Matches!$D:$D,$A8)+COUNTIFS(Matches!$G:$G,"Walkover_Away",Matches!$C:$C,$A8))</f>
        <v>0</v>
      </c>
      <c r="T8" s="54">
        <f>IF($A8="","",COUNTIFS(Matches!$G:$G,"Walkover_Home",Matches!$C:$C,$A8)+COUNTIFS(Matches!$G:$G,"Walkover_Away",Matches!$D:$D,$A8))</f>
        <v>0</v>
      </c>
      <c r="U8" s="55">
        <f t="shared" si="7"/>
        <v>1.842105263</v>
      </c>
      <c r="V8" s="57">
        <f>IFERROR(__xludf.DUMMYFUNCTION("IF($A8="""","""",IFERROR(
  SUM(
    INDEX(
      QUERY(
        SORT(FILTER({Log!A:A,Log!G:G},Log!B:B=$A8),1,FALSE),
        ""select Col2 limit 5"",
        0
      ),
    ,1)
  ),
0))"),7.0)</f>
        <v>7</v>
      </c>
      <c r="W8" s="57">
        <f t="shared" si="8"/>
        <v>46.67</v>
      </c>
      <c r="X8" s="57">
        <f>IF($A8="","",IFERROR(SUMIFS(Adjustments!$D:$D,Adjustments!$B:$B,$A8,Adjustments!$C:$C,"MP"),0))</f>
        <v>0</v>
      </c>
      <c r="Y8" s="57">
        <f>IF($A8="","",IFERROR(SUMIFS(Adjustments!$D:$D,Adjustments!$B:$B,$A8,Adjustments!$C:$C,"W"),0))</f>
        <v>0</v>
      </c>
      <c r="Z8" s="57">
        <f>IF($A8="","",IFERROR(SUMIFS(Adjustments!$D:$D,Adjustments!$B:$B,$A8,Adjustments!$C:$C,"D"),0))</f>
        <v>0</v>
      </c>
      <c r="AA8" s="57">
        <f>IF($A8="","",IFERROR(SUMIFS(Adjustments!$D:$D,Adjustments!$B:$B,$A8,Adjustments!$C:$C,"L"),0))</f>
        <v>0</v>
      </c>
      <c r="AB8" s="57">
        <f>IF($A8="","",IFERROR(SUMIFS(Adjustments!$D:$D,Adjustments!$B:$B,$A8,Adjustments!$C:$C,"GF"),0))</f>
        <v>0</v>
      </c>
      <c r="AC8" s="57">
        <f>IF($A8="","",IFERROR(SUMIFS(Adjustments!$D:$D,Adjustments!$B:$B,$A8,Adjustments!$C:$C,"GA"),0))</f>
        <v>0</v>
      </c>
      <c r="AD8" s="57">
        <f>IF($A8="","",IFERROR(SUMIFS(Adjustments!$D:$D,Adjustments!$B:$B,$A8,Adjustments!$C:$C,"GD"),0))</f>
        <v>0</v>
      </c>
      <c r="AE8" s="57">
        <f>IF($A8="","",IFERROR(SUMIFS(Adjustments!$D:$D,Adjustments!$B:$B,$A8,Adjustments!$C:$C,"PTS"),0))</f>
        <v>0</v>
      </c>
    </row>
    <row r="9">
      <c r="A9" s="32" t="str">
        <f>IF(Players!$B9="","",Players!$B9)</f>
        <v>WOLEVATION</v>
      </c>
      <c r="B9" s="52">
        <f>IF($A9="","",(COUNTIFS(Matches!$C:$C,$A9,Matches!$L:$L,1)+COUNTIFS(Matches!$D:$D,$A9,Matches!$L:$L,1)) + $X9)</f>
        <v>19</v>
      </c>
      <c r="C9" s="52">
        <f>IF($A9="","",
COUNTIFS(Matches!$C:$C,$A9,Matches!$M:$M,TRUE)+COUNTIFS(Matches!$C:$C,$A9,Matches!$M:$M,1)
+COUNTIFS(Matches!$D:$D,$A9,Matches!$P:$P,TRUE)+COUNTIFS(Matches!$D:$D,$A9,Matches!$P:$P,1)
+$Y9)</f>
        <v>10</v>
      </c>
      <c r="D9" s="52">
        <f>IF($A9="","",
COUNTIFS(Matches!$C:$C,$A9,Matches!$N:$N,TRUE)+COUNTIFS(Matches!$C:$C,$A9,Matches!$N:$N,1)
+COUNTIFS(Matches!$D:$D,$A9,Matches!$Q:$Q,TRUE)+COUNTIFS(Matches!$D:$D,$A9,Matches!$Q:$Q,1)
+$Z9)</f>
        <v>3</v>
      </c>
      <c r="E9" s="52">
        <f>IF($A9="","",
COUNTIFS(Matches!$C:$C,$A9,Matches!$O:$O,TRUE)+COUNTIFS(Matches!$C:$C,$A9,Matches!$O:$O,1)
+COUNTIFS(Matches!$D:$D,$A9,Matches!$R:$R,TRUE)+COUNTIFS(Matches!$D:$D,$A9,Matches!$R:$R,1)
+$AA9)</f>
        <v>6</v>
      </c>
      <c r="F9" s="52">
        <f>IF($A9="","",(SUMIFS(Matches!$H:$H,Matches!$C:$C,$A9)+SUMIFS(Matches!$I:$I,Matches!$D:$D,$A9)) + $AB9)</f>
        <v>82</v>
      </c>
      <c r="G9" s="52">
        <f>IF($A9="","",(SUMIFS(Matches!$I:$I,Matches!$C:$C,$A9)+SUMIFS(Matches!$H:$H,Matches!$D:$D,$A9)) + $AC9)</f>
        <v>76</v>
      </c>
      <c r="H9" s="52">
        <f t="shared" si="1"/>
        <v>6</v>
      </c>
      <c r="I9" s="52">
        <f>IF($A9="","",
SUMIFS(Matches!$J:$J,Matches!$C:$C,$A9,Matches!$L:$L,TRUE)+SUMIFS(Matches!$J:$J,Matches!$C:$C,$A9,Matches!$L:$L,1)
+SUMIFS(Matches!$K:$K,Matches!$D:$D,$A9,Matches!$L:$L,TRUE)+SUMIFS(Matches!$K:$K,Matches!$D:$D,$A9,Matches!$L:$L,1)
)</f>
        <v>33</v>
      </c>
      <c r="J9" s="52">
        <f t="shared" si="2"/>
        <v>0</v>
      </c>
      <c r="K9" s="52">
        <f>IF($A9="","",
$I9
+($Y9*Settings!$B$3)
+($Z9*Settings!$B$5)
+($AA9*Settings!$B$6)
+$AE9
)</f>
        <v>33</v>
      </c>
      <c r="L9" s="53">
        <f t="shared" si="3"/>
        <v>8</v>
      </c>
      <c r="M9" s="54">
        <f>IF($A9="","",COUNTIFS(Matches!$C:$C,$A9,Matches!$I:$I,0,Matches!$L:$L,1)+COUNTIFS(Matches!$D:$D,$A9,Matches!$H:$H,0,Matches!$L:$L,1))</f>
        <v>2</v>
      </c>
      <c r="N9" s="55">
        <f t="shared" si="4"/>
        <v>4.315789474</v>
      </c>
      <c r="O9" s="55">
        <f t="shared" si="5"/>
        <v>4</v>
      </c>
      <c r="P9" s="56">
        <f t="shared" si="6"/>
        <v>0.5263157895</v>
      </c>
      <c r="Q9" s="54">
        <f>IF($A9="","",MAX(IFERROR(MAXIFS(Matches!$U:$U,Matches!$C:$C,$A9,Matches!$M:$M,1),0),IFERROR(MAXIFS(Matches!$V:$V,Matches!$D:$D,$A9,Matches!$P:$P,1),0)))</f>
        <v>4</v>
      </c>
      <c r="R9" s="54">
        <f>IF($A9="","",MAX(IFERROR(MAXIFS(Matches!$W:$W,Matches!$C:$C,$A9,Matches!$O:$O,1),0),IFERROR(MAXIFS(Matches!$X:$X,Matches!$D:$D,$A9,Matches!$R:$R,1),0)))</f>
        <v>5</v>
      </c>
      <c r="S9" s="54">
        <f>IF($A9="","",COUNTIFS(Matches!$G:$G,"Walkover_Home",Matches!$D:$D,$A9)+COUNTIFS(Matches!$G:$G,"Walkover_Away",Matches!$C:$C,$A9))</f>
        <v>0</v>
      </c>
      <c r="T9" s="54">
        <f>IF($A9="","",COUNTIFS(Matches!$G:$G,"Walkover_Home",Matches!$C:$C,$A9)+COUNTIFS(Matches!$G:$G,"Walkover_Away",Matches!$D:$D,$A9))</f>
        <v>2</v>
      </c>
      <c r="U9" s="55">
        <f t="shared" si="7"/>
        <v>1.736842105</v>
      </c>
      <c r="V9" s="57">
        <f>IFERROR(__xludf.DUMMYFUNCTION("IF($A9="""","""",IFERROR(
  SUM(
    INDEX(
      QUERY(
        SORT(FILTER({Log!A:A,Log!G:G},Log!B:B=$A9),1,FALSE),
        ""select Col2 limit 5"",
        0
      ),
    ,1)
  ),
0))"),5.0)</f>
        <v>5</v>
      </c>
      <c r="W9" s="57">
        <f t="shared" si="8"/>
        <v>33.33</v>
      </c>
      <c r="X9" s="57">
        <f>IF($A9="","",IFERROR(SUMIFS(Adjustments!$D:$D,Adjustments!$B:$B,$A9,Adjustments!$C:$C,"MP"),0))</f>
        <v>0</v>
      </c>
      <c r="Y9" s="57">
        <f>IF($A9="","",IFERROR(SUMIFS(Adjustments!$D:$D,Adjustments!$B:$B,$A9,Adjustments!$C:$C,"W"),0))</f>
        <v>0</v>
      </c>
      <c r="Z9" s="57">
        <f>IF($A9="","",IFERROR(SUMIFS(Adjustments!$D:$D,Adjustments!$B:$B,$A9,Adjustments!$C:$C,"D"),0))</f>
        <v>0</v>
      </c>
      <c r="AA9" s="57">
        <f>IF($A9="","",IFERROR(SUMIFS(Adjustments!$D:$D,Adjustments!$B:$B,$A9,Adjustments!$C:$C,"L"),0))</f>
        <v>0</v>
      </c>
      <c r="AB9" s="57">
        <f>IF($A9="","",IFERROR(SUMIFS(Adjustments!$D:$D,Adjustments!$B:$B,$A9,Adjustments!$C:$C,"GF"),0))</f>
        <v>-3</v>
      </c>
      <c r="AC9" s="57">
        <f>IF($A9="","",IFERROR(SUMIFS(Adjustments!$D:$D,Adjustments!$B:$B,$A9,Adjustments!$C:$C,"GA"),0))</f>
        <v>0</v>
      </c>
      <c r="AD9" s="57">
        <f>IF($A9="","",IFERROR(SUMIFS(Adjustments!$D:$D,Adjustments!$B:$B,$A9,Adjustments!$C:$C,"GD"),0))</f>
        <v>0</v>
      </c>
      <c r="AE9" s="57">
        <f>IF($A9="","",IFERROR(SUMIFS(Adjustments!$D:$D,Adjustments!$B:$B,$A9,Adjustments!$C:$C,"PTS"),0))</f>
        <v>0</v>
      </c>
    </row>
    <row r="10">
      <c r="A10" s="32" t="str">
        <f>IF(Players!$B10="","",Players!$B10)</f>
        <v>KHALEEDOY</v>
      </c>
      <c r="B10" s="52">
        <f>IF($A10="","",(COUNTIFS(Matches!$C:$C,$A10,Matches!$L:$L,1)+COUNTIFS(Matches!$D:$D,$A10,Matches!$L:$L,1)) + $X10)</f>
        <v>18</v>
      </c>
      <c r="C10" s="52">
        <f>IF($A10="","",
COUNTIFS(Matches!$C:$C,$A10,Matches!$M:$M,TRUE)+COUNTIFS(Matches!$C:$C,$A10,Matches!$M:$M,1)
+COUNTIFS(Matches!$D:$D,$A10,Matches!$P:$P,TRUE)+COUNTIFS(Matches!$D:$D,$A10,Matches!$P:$P,1)
+$Y10)</f>
        <v>6</v>
      </c>
      <c r="D10" s="52">
        <f>IF($A10="","",
COUNTIFS(Matches!$C:$C,$A10,Matches!$N:$N,TRUE)+COUNTIFS(Matches!$C:$C,$A10,Matches!$N:$N,1)
+COUNTIFS(Matches!$D:$D,$A10,Matches!$Q:$Q,TRUE)+COUNTIFS(Matches!$D:$D,$A10,Matches!$Q:$Q,1)
+$Z10)</f>
        <v>4</v>
      </c>
      <c r="E10" s="52">
        <f>IF($A10="","",
COUNTIFS(Matches!$C:$C,$A10,Matches!$O:$O,TRUE)+COUNTIFS(Matches!$C:$C,$A10,Matches!$O:$O,1)
+COUNTIFS(Matches!$D:$D,$A10,Matches!$R:$R,TRUE)+COUNTIFS(Matches!$D:$D,$A10,Matches!$R:$R,1)
+$AA10)</f>
        <v>8</v>
      </c>
      <c r="F10" s="52">
        <f>IF($A10="","",(SUMIFS(Matches!$H:$H,Matches!$C:$C,$A10)+SUMIFS(Matches!$I:$I,Matches!$D:$D,$A10)) + $AB10)</f>
        <v>84</v>
      </c>
      <c r="G10" s="52">
        <f>IF($A10="","",(SUMIFS(Matches!$I:$I,Matches!$C:$C,$A10)+SUMIFS(Matches!$H:$H,Matches!$D:$D,$A10)) + $AC10)</f>
        <v>78</v>
      </c>
      <c r="H10" s="52">
        <f t="shared" si="1"/>
        <v>6</v>
      </c>
      <c r="I10" s="52">
        <f>IF($A10="","",
SUMIFS(Matches!$J:$J,Matches!$C:$C,$A10,Matches!$L:$L,TRUE)+SUMIFS(Matches!$J:$J,Matches!$C:$C,$A10,Matches!$L:$L,1)
+SUMIFS(Matches!$K:$K,Matches!$D:$D,$A10,Matches!$L:$L,TRUE)+SUMIFS(Matches!$K:$K,Matches!$D:$D,$A10,Matches!$L:$L,1)
)</f>
        <v>22</v>
      </c>
      <c r="J10" s="52">
        <f t="shared" si="2"/>
        <v>0</v>
      </c>
      <c r="K10" s="52">
        <f>IF($A10="","",
$I10
+($Y10*Settings!$B$3)
+($Z10*Settings!$B$5)
+($AA10*Settings!$B$6)
+$AE10
)</f>
        <v>22</v>
      </c>
      <c r="L10" s="53">
        <f t="shared" si="3"/>
        <v>14</v>
      </c>
      <c r="M10" s="54">
        <f>IF($A10="","",COUNTIFS(Matches!$C:$C,$A10,Matches!$I:$I,0,Matches!$L:$L,1)+COUNTIFS(Matches!$D:$D,$A10,Matches!$H:$H,0,Matches!$L:$L,1))</f>
        <v>0</v>
      </c>
      <c r="N10" s="55">
        <f t="shared" si="4"/>
        <v>4.666666667</v>
      </c>
      <c r="O10" s="55">
        <f t="shared" si="5"/>
        <v>4.333333333</v>
      </c>
      <c r="P10" s="56">
        <f t="shared" si="6"/>
        <v>0.3333333333</v>
      </c>
      <c r="Q10" s="54">
        <f>IF($A10="","",MAX(IFERROR(MAXIFS(Matches!$U:$U,Matches!$C:$C,$A10,Matches!$M:$M,1),0),IFERROR(MAXIFS(Matches!$V:$V,Matches!$D:$D,$A10,Matches!$P:$P,1),0)))</f>
        <v>8</v>
      </c>
      <c r="R10" s="54">
        <f>IF($A10="","",MAX(IFERROR(MAXIFS(Matches!$W:$W,Matches!$C:$C,$A10,Matches!$O:$O,1),0),IFERROR(MAXIFS(Matches!$X:$X,Matches!$D:$D,$A10,Matches!$R:$R,1),0)))</f>
        <v>4</v>
      </c>
      <c r="S10" s="54">
        <f>IF($A10="","",COUNTIFS(Matches!$G:$G,"Walkover_Home",Matches!$D:$D,$A10)+COUNTIFS(Matches!$G:$G,"Walkover_Away",Matches!$C:$C,$A10))</f>
        <v>2</v>
      </c>
      <c r="T10" s="54">
        <f>IF($A10="","",COUNTIFS(Matches!$G:$G,"Walkover_Home",Matches!$C:$C,$A10)+COUNTIFS(Matches!$G:$G,"Walkover_Away",Matches!$D:$D,$A10))</f>
        <v>0</v>
      </c>
      <c r="U10" s="55">
        <f t="shared" si="7"/>
        <v>1.222222222</v>
      </c>
      <c r="V10" s="57">
        <f>IFERROR(__xludf.DUMMYFUNCTION("IF($A10="""","""",IFERROR(
  SUM(
    INDEX(
      QUERY(
        SORT(FILTER({Log!A:A,Log!G:G},Log!B:B=$A10),1,FALSE),
        ""select Col2 limit 5"",
        0
      ),
    ,1)
  ),
0))"),7.0)</f>
        <v>7</v>
      </c>
      <c r="W10" s="57">
        <f t="shared" si="8"/>
        <v>46.67</v>
      </c>
      <c r="X10" s="57">
        <f>IF($A10="","",IFERROR(SUMIFS(Adjustments!$D:$D,Adjustments!$B:$B,$A10,Adjustments!$C:$C,"MP"),0))</f>
        <v>0</v>
      </c>
      <c r="Y10" s="57">
        <f>IF($A10="","",IFERROR(SUMIFS(Adjustments!$D:$D,Adjustments!$B:$B,$A10,Adjustments!$C:$C,"W"),0))</f>
        <v>0</v>
      </c>
      <c r="Z10" s="57">
        <f>IF($A10="","",IFERROR(SUMIFS(Adjustments!$D:$D,Adjustments!$B:$B,$A10,Adjustments!$C:$C,"D"),0))</f>
        <v>0</v>
      </c>
      <c r="AA10" s="57">
        <f>IF($A10="","",IFERROR(SUMIFS(Adjustments!$D:$D,Adjustments!$B:$B,$A10,Adjustments!$C:$C,"L"),0))</f>
        <v>0</v>
      </c>
      <c r="AB10" s="57">
        <f>IF($A10="","",IFERROR(SUMIFS(Adjustments!$D:$D,Adjustments!$B:$B,$A10,Adjustments!$C:$C,"GF"),0))</f>
        <v>0</v>
      </c>
      <c r="AC10" s="57">
        <f>IF($A10="","",IFERROR(SUMIFS(Adjustments!$D:$D,Adjustments!$B:$B,$A10,Adjustments!$C:$C,"GA"),0))</f>
        <v>0</v>
      </c>
      <c r="AD10" s="57">
        <f>IF($A10="","",IFERROR(SUMIFS(Adjustments!$D:$D,Adjustments!$B:$B,$A10,Adjustments!$C:$C,"GD"),0))</f>
        <v>0</v>
      </c>
      <c r="AE10" s="57">
        <f>IF($A10="","",IFERROR(SUMIFS(Adjustments!$D:$D,Adjustments!$B:$B,$A10,Adjustments!$C:$C,"PTS"),0))</f>
        <v>0</v>
      </c>
    </row>
    <row r="11">
      <c r="A11" s="32" t="str">
        <f>IF(Players!$B11="","",Players!$B11)</f>
        <v>BALO K</v>
      </c>
      <c r="B11" s="52">
        <f>IF($A11="","",(COUNTIFS(Matches!$C:$C,$A11,Matches!$L:$L,1)+COUNTIFS(Matches!$D:$D,$A11,Matches!$L:$L,1)) + $X11)</f>
        <v>19</v>
      </c>
      <c r="C11" s="52">
        <f>IF($A11="","",
COUNTIFS(Matches!$C:$C,$A11,Matches!$M:$M,TRUE)+COUNTIFS(Matches!$C:$C,$A11,Matches!$M:$M,1)
+COUNTIFS(Matches!$D:$D,$A11,Matches!$P:$P,TRUE)+COUNTIFS(Matches!$D:$D,$A11,Matches!$P:$P,1)
+$Y11)</f>
        <v>6</v>
      </c>
      <c r="D11" s="52">
        <f>IF($A11="","",
COUNTIFS(Matches!$C:$C,$A11,Matches!$N:$N,TRUE)+COUNTIFS(Matches!$C:$C,$A11,Matches!$N:$N,1)
+COUNTIFS(Matches!$D:$D,$A11,Matches!$Q:$Q,TRUE)+COUNTIFS(Matches!$D:$D,$A11,Matches!$Q:$Q,1)
+$Z11)</f>
        <v>0</v>
      </c>
      <c r="E11" s="52">
        <f>IF($A11="","",
COUNTIFS(Matches!$C:$C,$A11,Matches!$O:$O,TRUE)+COUNTIFS(Matches!$C:$C,$A11,Matches!$O:$O,1)
+COUNTIFS(Matches!$D:$D,$A11,Matches!$R:$R,TRUE)+COUNTIFS(Matches!$D:$D,$A11,Matches!$R:$R,1)
+$AA11)</f>
        <v>13</v>
      </c>
      <c r="F11" s="52">
        <f>IF($A11="","",(SUMIFS(Matches!$H:$H,Matches!$C:$C,$A11)+SUMIFS(Matches!$I:$I,Matches!$D:$D,$A11)) + $AB11)</f>
        <v>61</v>
      </c>
      <c r="G11" s="52">
        <f>IF($A11="","",(SUMIFS(Matches!$I:$I,Matches!$C:$C,$A11)+SUMIFS(Matches!$H:$H,Matches!$D:$D,$A11)) + $AC11)</f>
        <v>106</v>
      </c>
      <c r="H11" s="52">
        <f t="shared" si="1"/>
        <v>-45</v>
      </c>
      <c r="I11" s="52">
        <f>IF($A11="","",
SUMIFS(Matches!$J:$J,Matches!$C:$C,$A11,Matches!$L:$L,TRUE)+SUMIFS(Matches!$J:$J,Matches!$C:$C,$A11,Matches!$L:$L,1)
+SUMIFS(Matches!$K:$K,Matches!$D:$D,$A11,Matches!$L:$L,TRUE)+SUMIFS(Matches!$K:$K,Matches!$D:$D,$A11,Matches!$L:$L,1)
)</f>
        <v>18</v>
      </c>
      <c r="J11" s="52">
        <f t="shared" si="2"/>
        <v>0</v>
      </c>
      <c r="K11" s="52">
        <f>IF($A11="","",
$I11
+($Y11*Settings!$B$3)
+($Z11*Settings!$B$5)
+($AA11*Settings!$B$6)
+$AE11
)</f>
        <v>18</v>
      </c>
      <c r="L11" s="53">
        <f t="shared" si="3"/>
        <v>15</v>
      </c>
      <c r="M11" s="54">
        <f>IF($A11="","",COUNTIFS(Matches!$C:$C,$A11,Matches!$I:$I,0,Matches!$L:$L,1)+COUNTIFS(Matches!$D:$D,$A11,Matches!$H:$H,0,Matches!$L:$L,1))</f>
        <v>3</v>
      </c>
      <c r="N11" s="55">
        <f t="shared" si="4"/>
        <v>3.210526316</v>
      </c>
      <c r="O11" s="55">
        <f t="shared" si="5"/>
        <v>5.578947368</v>
      </c>
      <c r="P11" s="56">
        <f t="shared" si="6"/>
        <v>0.3157894737</v>
      </c>
      <c r="Q11" s="54">
        <f>IF($A11="","",MAX(IFERROR(MAXIFS(Matches!$U:$U,Matches!$C:$C,$A11,Matches!$M:$M,1),0),IFERROR(MAXIFS(Matches!$V:$V,Matches!$D:$D,$A11,Matches!$P:$P,1),0)))</f>
        <v>3</v>
      </c>
      <c r="R11" s="54">
        <f>IF($A11="","",MAX(IFERROR(MAXIFS(Matches!$W:$W,Matches!$C:$C,$A11,Matches!$O:$O,1),0),IFERROR(MAXIFS(Matches!$X:$X,Matches!$D:$D,$A11,Matches!$R:$R,1),0)))</f>
        <v>13</v>
      </c>
      <c r="S11" s="54">
        <f>IF($A11="","",COUNTIFS(Matches!$G:$G,"Walkover_Home",Matches!$D:$D,$A11)+COUNTIFS(Matches!$G:$G,"Walkover_Away",Matches!$C:$C,$A11))</f>
        <v>0</v>
      </c>
      <c r="T11" s="54">
        <f>IF($A11="","",COUNTIFS(Matches!$G:$G,"Walkover_Home",Matches!$C:$C,$A11)+COUNTIFS(Matches!$G:$G,"Walkover_Away",Matches!$D:$D,$A11))</f>
        <v>3</v>
      </c>
      <c r="U11" s="55">
        <f t="shared" si="7"/>
        <v>0.9473684211</v>
      </c>
      <c r="V11" s="57">
        <f>IFERROR(__xludf.DUMMYFUNCTION("IF($A11="""","""",IFERROR(
  SUM(
    INDEX(
      QUERY(
        SORT(FILTER({Log!A:A,Log!G:G},Log!B:B=$A11),1,FALSE),
        ""select Col2 limit 5"",
        0
      ),
    ,1)
  ),
0))"),6.0)</f>
        <v>6</v>
      </c>
      <c r="W11" s="57">
        <f t="shared" si="8"/>
        <v>40</v>
      </c>
      <c r="X11" s="57">
        <f>IF($A11="","",IFERROR(SUMIFS(Adjustments!$D:$D,Adjustments!$B:$B,$A11,Adjustments!$C:$C,"MP"),0))</f>
        <v>0</v>
      </c>
      <c r="Y11" s="57">
        <f>IF($A11="","",IFERROR(SUMIFS(Adjustments!$D:$D,Adjustments!$B:$B,$A11,Adjustments!$C:$C,"W"),0))</f>
        <v>0</v>
      </c>
      <c r="Z11" s="57">
        <f>IF($A11="","",IFERROR(SUMIFS(Adjustments!$D:$D,Adjustments!$B:$B,$A11,Adjustments!$C:$C,"D"),0))</f>
        <v>0</v>
      </c>
      <c r="AA11" s="57">
        <f>IF($A11="","",IFERROR(SUMIFS(Adjustments!$D:$D,Adjustments!$B:$B,$A11,Adjustments!$C:$C,"L"),0))</f>
        <v>0</v>
      </c>
      <c r="AB11" s="57">
        <f>IF($A11="","",IFERROR(SUMIFS(Adjustments!$D:$D,Adjustments!$B:$B,$A11,Adjustments!$C:$C,"GF"),0))</f>
        <v>0</v>
      </c>
      <c r="AC11" s="57">
        <f>IF($A11="","",IFERROR(SUMIFS(Adjustments!$D:$D,Adjustments!$B:$B,$A11,Adjustments!$C:$C,"GA"),0))</f>
        <v>0</v>
      </c>
      <c r="AD11" s="57">
        <f>IF($A11="","",IFERROR(SUMIFS(Adjustments!$D:$D,Adjustments!$B:$B,$A11,Adjustments!$C:$C,"GD"),0))</f>
        <v>0</v>
      </c>
      <c r="AE11" s="57">
        <f>IF($A11="","",IFERROR(SUMIFS(Adjustments!$D:$D,Adjustments!$B:$B,$A11,Adjustments!$C:$C,"PTS"),0))</f>
        <v>0</v>
      </c>
    </row>
    <row r="12">
      <c r="A12" s="32" t="str">
        <f>IF(Players!$B12="","",Players!$B12)</f>
        <v>YEMOLEE</v>
      </c>
      <c r="B12" s="52">
        <f>IF($A12="","",(COUNTIFS(Matches!$C:$C,$A12,Matches!$L:$L,1)+COUNTIFS(Matches!$D:$D,$A12,Matches!$L:$L,1)) + $X12)</f>
        <v>19</v>
      </c>
      <c r="C12" s="52">
        <f>IF($A12="","",
COUNTIFS(Matches!$C:$C,$A12,Matches!$M:$M,TRUE)+COUNTIFS(Matches!$C:$C,$A12,Matches!$M:$M,1)
+COUNTIFS(Matches!$D:$D,$A12,Matches!$P:$P,TRUE)+COUNTIFS(Matches!$D:$D,$A12,Matches!$P:$P,1)
+$Y12)</f>
        <v>8</v>
      </c>
      <c r="D12" s="52">
        <f>IF($A12="","",
COUNTIFS(Matches!$C:$C,$A12,Matches!$N:$N,TRUE)+COUNTIFS(Matches!$C:$C,$A12,Matches!$N:$N,1)
+COUNTIFS(Matches!$D:$D,$A12,Matches!$Q:$Q,TRUE)+COUNTIFS(Matches!$D:$D,$A12,Matches!$Q:$Q,1)
+$Z12)</f>
        <v>7</v>
      </c>
      <c r="E12" s="52">
        <f>IF($A12="","",
COUNTIFS(Matches!$C:$C,$A12,Matches!$O:$O,TRUE)+COUNTIFS(Matches!$C:$C,$A12,Matches!$O:$O,1)
+COUNTIFS(Matches!$D:$D,$A12,Matches!$R:$R,TRUE)+COUNTIFS(Matches!$D:$D,$A12,Matches!$R:$R,1)
+$AA12)</f>
        <v>4</v>
      </c>
      <c r="F12" s="52">
        <f>IF($A12="","",(SUMIFS(Matches!$H:$H,Matches!$C:$C,$A12)+SUMIFS(Matches!$I:$I,Matches!$D:$D,$A12)) + $AB12)</f>
        <v>97</v>
      </c>
      <c r="G12" s="52">
        <f>IF($A12="","",(SUMIFS(Matches!$I:$I,Matches!$C:$C,$A12)+SUMIFS(Matches!$H:$H,Matches!$D:$D,$A12)) + $AC12)</f>
        <v>76</v>
      </c>
      <c r="H12" s="52">
        <f t="shared" si="1"/>
        <v>21</v>
      </c>
      <c r="I12" s="52">
        <f>IF($A12="","",
SUMIFS(Matches!$J:$J,Matches!$C:$C,$A12,Matches!$L:$L,TRUE)+SUMIFS(Matches!$J:$J,Matches!$C:$C,$A12,Matches!$L:$L,1)
+SUMIFS(Matches!$K:$K,Matches!$D:$D,$A12,Matches!$L:$L,TRUE)+SUMIFS(Matches!$K:$K,Matches!$D:$D,$A12,Matches!$L:$L,1)
)</f>
        <v>31</v>
      </c>
      <c r="J12" s="52">
        <f t="shared" si="2"/>
        <v>0</v>
      </c>
      <c r="K12" s="52">
        <f>IF($A12="","",
$I12
+($Y12*Settings!$B$3)
+($Z12*Settings!$B$5)
+($AA12*Settings!$B$6)
+$AE12
)</f>
        <v>31</v>
      </c>
      <c r="L12" s="53">
        <f t="shared" si="3"/>
        <v>11</v>
      </c>
      <c r="M12" s="54">
        <f>IF($A12="","",COUNTIFS(Matches!$C:$C,$A12,Matches!$I:$I,0,Matches!$L:$L,1)+COUNTIFS(Matches!$D:$D,$A12,Matches!$H:$H,0,Matches!$L:$L,1))</f>
        <v>0</v>
      </c>
      <c r="N12" s="55">
        <f t="shared" si="4"/>
        <v>5.105263158</v>
      </c>
      <c r="O12" s="55">
        <f t="shared" si="5"/>
        <v>4</v>
      </c>
      <c r="P12" s="56">
        <f t="shared" si="6"/>
        <v>0.4210526316</v>
      </c>
      <c r="Q12" s="54">
        <f>IF($A12="","",MAX(IFERROR(MAXIFS(Matches!$U:$U,Matches!$C:$C,$A12,Matches!$M:$M,1),0),IFERROR(MAXIFS(Matches!$V:$V,Matches!$D:$D,$A12,Matches!$P:$P,1),0)))</f>
        <v>5</v>
      </c>
      <c r="R12" s="54">
        <f>IF($A12="","",MAX(IFERROR(MAXIFS(Matches!$W:$W,Matches!$C:$C,$A12,Matches!$O:$O,1),0),IFERROR(MAXIFS(Matches!$X:$X,Matches!$D:$D,$A12,Matches!$R:$R,1),0)))</f>
        <v>3</v>
      </c>
      <c r="S12" s="54">
        <f>IF($A12="","",COUNTIFS(Matches!$G:$G,"Walkover_Home",Matches!$D:$D,$A12)+COUNTIFS(Matches!$G:$G,"Walkover_Away",Matches!$C:$C,$A12))</f>
        <v>0</v>
      </c>
      <c r="T12" s="54">
        <f>IF($A12="","",COUNTIFS(Matches!$G:$G,"Walkover_Home",Matches!$C:$C,$A12)+COUNTIFS(Matches!$G:$G,"Walkover_Away",Matches!$D:$D,$A12))</f>
        <v>0</v>
      </c>
      <c r="U12" s="55">
        <f t="shared" si="7"/>
        <v>1.631578947</v>
      </c>
      <c r="V12" s="57">
        <f>IFERROR(__xludf.DUMMYFUNCTION("IF($A12="""","""",IFERROR(
  SUM(
    INDEX(
      QUERY(
        SORT(FILTER({Log!A:A,Log!G:G},Log!B:B=$A12),1,FALSE),
        ""select Col2 limit 5"",
        0
      ),
    ,1)
  ),
0))"),8.0)</f>
        <v>8</v>
      </c>
      <c r="W12" s="57">
        <f t="shared" si="8"/>
        <v>53.33</v>
      </c>
      <c r="X12" s="57">
        <f>IF($A12="","",IFERROR(SUMIFS(Adjustments!$D:$D,Adjustments!$B:$B,$A12,Adjustments!$C:$C,"MP"),0))</f>
        <v>0</v>
      </c>
      <c r="Y12" s="57">
        <f>IF($A12="","",IFERROR(SUMIFS(Adjustments!$D:$D,Adjustments!$B:$B,$A12,Adjustments!$C:$C,"W"),0))</f>
        <v>0</v>
      </c>
      <c r="Z12" s="57">
        <f>IF($A12="","",IFERROR(SUMIFS(Adjustments!$D:$D,Adjustments!$B:$B,$A12,Adjustments!$C:$C,"D"),0))</f>
        <v>0</v>
      </c>
      <c r="AA12" s="57">
        <f>IF($A12="","",IFERROR(SUMIFS(Adjustments!$D:$D,Adjustments!$B:$B,$A12,Adjustments!$C:$C,"L"),0))</f>
        <v>0</v>
      </c>
      <c r="AB12" s="57">
        <f>IF($A12="","",IFERROR(SUMIFS(Adjustments!$D:$D,Adjustments!$B:$B,$A12,Adjustments!$C:$C,"GF"),0))</f>
        <v>0</v>
      </c>
      <c r="AC12" s="57">
        <f>IF($A12="","",IFERROR(SUMIFS(Adjustments!$D:$D,Adjustments!$B:$B,$A12,Adjustments!$C:$C,"GA"),0))</f>
        <v>0</v>
      </c>
      <c r="AD12" s="57">
        <f>IF($A12="","",IFERROR(SUMIFS(Adjustments!$D:$D,Adjustments!$B:$B,$A12,Adjustments!$C:$C,"GD"),0))</f>
        <v>0</v>
      </c>
      <c r="AE12" s="57">
        <f>IF($A12="","",IFERROR(SUMIFS(Adjustments!$D:$D,Adjustments!$B:$B,$A12,Adjustments!$C:$C,"PTS"),0))</f>
        <v>0</v>
      </c>
    </row>
    <row r="13">
      <c r="A13" s="32" t="str">
        <f>IF(Players!$B13="","",Players!$B13)</f>
        <v>RHYMEZ</v>
      </c>
      <c r="B13" s="52">
        <f>IF($A13="","",(COUNTIFS(Matches!$C:$C,$A13,Matches!$L:$L,1)+COUNTIFS(Matches!$D:$D,$A13,Matches!$L:$L,1)) + $X13)</f>
        <v>19</v>
      </c>
      <c r="C13" s="52">
        <f>IF($A13="","",
COUNTIFS(Matches!$C:$C,$A13,Matches!$M:$M,TRUE)+COUNTIFS(Matches!$C:$C,$A13,Matches!$M:$M,1)
+COUNTIFS(Matches!$D:$D,$A13,Matches!$P:$P,TRUE)+COUNTIFS(Matches!$D:$D,$A13,Matches!$P:$P,1)
+$Y13)</f>
        <v>10</v>
      </c>
      <c r="D13" s="52">
        <f>IF($A13="","",
COUNTIFS(Matches!$C:$C,$A13,Matches!$N:$N,TRUE)+COUNTIFS(Matches!$C:$C,$A13,Matches!$N:$N,1)
+COUNTIFS(Matches!$D:$D,$A13,Matches!$Q:$Q,TRUE)+COUNTIFS(Matches!$D:$D,$A13,Matches!$Q:$Q,1)
+$Z13)</f>
        <v>2</v>
      </c>
      <c r="E13" s="52">
        <f>IF($A13="","",
COUNTIFS(Matches!$C:$C,$A13,Matches!$O:$O,TRUE)+COUNTIFS(Matches!$C:$C,$A13,Matches!$O:$O,1)
+COUNTIFS(Matches!$D:$D,$A13,Matches!$R:$R,TRUE)+COUNTIFS(Matches!$D:$D,$A13,Matches!$R:$R,1)
+$AA13)</f>
        <v>7</v>
      </c>
      <c r="F13" s="52">
        <f>IF($A13="","",(SUMIFS(Matches!$H:$H,Matches!$C:$C,$A13)+SUMIFS(Matches!$I:$I,Matches!$D:$D,$A13)) + $AB13)</f>
        <v>89</v>
      </c>
      <c r="G13" s="52">
        <f>IF($A13="","",(SUMIFS(Matches!$I:$I,Matches!$C:$C,$A13)+SUMIFS(Matches!$H:$H,Matches!$D:$D,$A13)) + $AC13)</f>
        <v>73</v>
      </c>
      <c r="H13" s="52">
        <f t="shared" si="1"/>
        <v>16</v>
      </c>
      <c r="I13" s="52">
        <f>IF($A13="","",
SUMIFS(Matches!$J:$J,Matches!$C:$C,$A13,Matches!$L:$L,TRUE)+SUMIFS(Matches!$J:$J,Matches!$C:$C,$A13,Matches!$L:$L,1)
+SUMIFS(Matches!$K:$K,Matches!$D:$D,$A13,Matches!$L:$L,TRUE)+SUMIFS(Matches!$K:$K,Matches!$D:$D,$A13,Matches!$L:$L,1)
)</f>
        <v>32</v>
      </c>
      <c r="J13" s="52">
        <f t="shared" si="2"/>
        <v>0</v>
      </c>
      <c r="K13" s="52">
        <f>IF($A13="","",
$I13
+($Y13*Settings!$B$3)
+($Z13*Settings!$B$5)
+($AA13*Settings!$B$6)
+$AE13
)</f>
        <v>32</v>
      </c>
      <c r="L13" s="53">
        <f t="shared" si="3"/>
        <v>10</v>
      </c>
      <c r="M13" s="54">
        <f>IF($A13="","",COUNTIFS(Matches!$C:$C,$A13,Matches!$I:$I,0,Matches!$L:$L,1)+COUNTIFS(Matches!$D:$D,$A13,Matches!$H:$H,0,Matches!$L:$L,1))</f>
        <v>0</v>
      </c>
      <c r="N13" s="55">
        <f t="shared" si="4"/>
        <v>4.684210526</v>
      </c>
      <c r="O13" s="55">
        <f t="shared" si="5"/>
        <v>3.842105263</v>
      </c>
      <c r="P13" s="56">
        <f t="shared" si="6"/>
        <v>0.5263157895</v>
      </c>
      <c r="Q13" s="54">
        <f>IF($A13="","",MAX(IFERROR(MAXIFS(Matches!$U:$U,Matches!$C:$C,$A13,Matches!$M:$M,1),0),IFERROR(MAXIFS(Matches!$V:$V,Matches!$D:$D,$A13,Matches!$P:$P,1),0)))</f>
        <v>6</v>
      </c>
      <c r="R13" s="54">
        <f>IF($A13="","",MAX(IFERROR(MAXIFS(Matches!$W:$W,Matches!$C:$C,$A13,Matches!$O:$O,1),0),IFERROR(MAXIFS(Matches!$X:$X,Matches!$D:$D,$A13,Matches!$R:$R,1),0)))</f>
        <v>5</v>
      </c>
      <c r="S13" s="54">
        <f>IF($A13="","",COUNTIFS(Matches!$G:$G,"Walkover_Home",Matches!$D:$D,$A13)+COUNTIFS(Matches!$G:$G,"Walkover_Away",Matches!$C:$C,$A13))</f>
        <v>0</v>
      </c>
      <c r="T13" s="54">
        <f>IF($A13="","",COUNTIFS(Matches!$G:$G,"Walkover_Home",Matches!$C:$C,$A13)+COUNTIFS(Matches!$G:$G,"Walkover_Away",Matches!$D:$D,$A13))</f>
        <v>0</v>
      </c>
      <c r="U13" s="55">
        <f t="shared" si="7"/>
        <v>1.684210526</v>
      </c>
      <c r="V13" s="57">
        <f>IFERROR(__xludf.DUMMYFUNCTION("IF($A13="""","""",IFERROR(
  SUM(
    INDEX(
      QUERY(
        SORT(FILTER({Log!A:A,Log!G:G},Log!B:B=$A13),1,FALSE),
        ""select Col2 limit 5"",
        0
      ),
    ,1)
  ),
0))"),12.0)</f>
        <v>12</v>
      </c>
      <c r="W13" s="57">
        <f t="shared" si="8"/>
        <v>80</v>
      </c>
      <c r="X13" s="57">
        <f>IF($A13="","",IFERROR(SUMIFS(Adjustments!$D:$D,Adjustments!$B:$B,$A13,Adjustments!$C:$C,"MP"),0))</f>
        <v>0</v>
      </c>
      <c r="Y13" s="57">
        <f>IF($A13="","",IFERROR(SUMIFS(Adjustments!$D:$D,Adjustments!$B:$B,$A13,Adjustments!$C:$C,"W"),0))</f>
        <v>0</v>
      </c>
      <c r="Z13" s="57">
        <f>IF($A13="","",IFERROR(SUMIFS(Adjustments!$D:$D,Adjustments!$B:$B,$A13,Adjustments!$C:$C,"D"),0))</f>
        <v>0</v>
      </c>
      <c r="AA13" s="57">
        <f>IF($A13="","",IFERROR(SUMIFS(Adjustments!$D:$D,Adjustments!$B:$B,$A13,Adjustments!$C:$C,"L"),0))</f>
        <v>0</v>
      </c>
      <c r="AB13" s="57">
        <f>IF($A13="","",IFERROR(SUMIFS(Adjustments!$D:$D,Adjustments!$B:$B,$A13,Adjustments!$C:$C,"GF"),0))</f>
        <v>0</v>
      </c>
      <c r="AC13" s="57">
        <f>IF($A13="","",IFERROR(SUMIFS(Adjustments!$D:$D,Adjustments!$B:$B,$A13,Adjustments!$C:$C,"GA"),0))</f>
        <v>0</v>
      </c>
      <c r="AD13" s="57">
        <f>IF($A13="","",IFERROR(SUMIFS(Adjustments!$D:$D,Adjustments!$B:$B,$A13,Adjustments!$C:$C,"GD"),0))</f>
        <v>0</v>
      </c>
      <c r="AE13" s="57">
        <f>IF($A13="","",IFERROR(SUMIFS(Adjustments!$D:$D,Adjustments!$B:$B,$A13,Adjustments!$C:$C,"PTS"),0))</f>
        <v>0</v>
      </c>
    </row>
    <row r="14">
      <c r="A14" s="32" t="str">
        <f>IF(Players!$B14="","",Players!$B14)</f>
        <v>SIMPLYY UZO</v>
      </c>
      <c r="B14" s="52">
        <f>IF($A14="","",(COUNTIFS(Matches!$C:$C,$A14,Matches!$L:$L,1)+COUNTIFS(Matches!$D:$D,$A14,Matches!$L:$L,1)) + $X14)</f>
        <v>18</v>
      </c>
      <c r="C14" s="52">
        <f>IF($A14="","",
COUNTIFS(Matches!$C:$C,$A14,Matches!$M:$M,TRUE)+COUNTIFS(Matches!$C:$C,$A14,Matches!$M:$M,1)
+COUNTIFS(Matches!$D:$D,$A14,Matches!$P:$P,TRUE)+COUNTIFS(Matches!$D:$D,$A14,Matches!$P:$P,1)
+$Y14)</f>
        <v>3</v>
      </c>
      <c r="D14" s="52">
        <f>IF($A14="","",
COUNTIFS(Matches!$C:$C,$A14,Matches!$N:$N,TRUE)+COUNTIFS(Matches!$C:$C,$A14,Matches!$N:$N,1)
+COUNTIFS(Matches!$D:$D,$A14,Matches!$Q:$Q,TRUE)+COUNTIFS(Matches!$D:$D,$A14,Matches!$Q:$Q,1)
+$Z14)</f>
        <v>1</v>
      </c>
      <c r="E14" s="52">
        <f>IF($A14="","",
COUNTIFS(Matches!$C:$C,$A14,Matches!$O:$O,TRUE)+COUNTIFS(Matches!$C:$C,$A14,Matches!$O:$O,1)
+COUNTIFS(Matches!$D:$D,$A14,Matches!$R:$R,TRUE)+COUNTIFS(Matches!$D:$D,$A14,Matches!$R:$R,1)
+$AA14)</f>
        <v>14</v>
      </c>
      <c r="F14" s="52">
        <f>IF($A14="","",(SUMIFS(Matches!$H:$H,Matches!$C:$C,$A14)+SUMIFS(Matches!$I:$I,Matches!$D:$D,$A14)) + $AB14)</f>
        <v>65</v>
      </c>
      <c r="G14" s="52">
        <f>IF($A14="","",(SUMIFS(Matches!$I:$I,Matches!$C:$C,$A14)+SUMIFS(Matches!$H:$H,Matches!$D:$D,$A14)) + $AC14)</f>
        <v>110</v>
      </c>
      <c r="H14" s="52">
        <f t="shared" si="1"/>
        <v>-45</v>
      </c>
      <c r="I14" s="52">
        <f>IF($A14="","",
SUMIFS(Matches!$J:$J,Matches!$C:$C,$A14,Matches!$L:$L,TRUE)+SUMIFS(Matches!$J:$J,Matches!$C:$C,$A14,Matches!$L:$L,1)
+SUMIFS(Matches!$K:$K,Matches!$D:$D,$A14,Matches!$L:$L,TRUE)+SUMIFS(Matches!$K:$K,Matches!$D:$D,$A14,Matches!$L:$L,1)
)</f>
        <v>10</v>
      </c>
      <c r="J14" s="52">
        <f t="shared" si="2"/>
        <v>0</v>
      </c>
      <c r="K14" s="52">
        <f>IF($A14="","",
$I14
+($Y14*Settings!$B$3)
+($Z14*Settings!$B$5)
+($AA14*Settings!$B$6)
+$AE14
)</f>
        <v>10</v>
      </c>
      <c r="L14" s="53">
        <f t="shared" si="3"/>
        <v>18</v>
      </c>
      <c r="M14" s="54">
        <f>IF($A14="","",COUNTIFS(Matches!$C:$C,$A14,Matches!$I:$I,0,Matches!$L:$L,1)+COUNTIFS(Matches!$D:$D,$A14,Matches!$H:$H,0,Matches!$L:$L,1))</f>
        <v>1</v>
      </c>
      <c r="N14" s="55">
        <f t="shared" si="4"/>
        <v>3.611111111</v>
      </c>
      <c r="O14" s="55">
        <f t="shared" si="5"/>
        <v>6.111111111</v>
      </c>
      <c r="P14" s="56">
        <f t="shared" si="6"/>
        <v>0.1666666667</v>
      </c>
      <c r="Q14" s="54">
        <f>IF($A14="","",MAX(IFERROR(MAXIFS(Matches!$U:$U,Matches!$C:$C,$A14,Matches!$M:$M,1),0),IFERROR(MAXIFS(Matches!$V:$V,Matches!$D:$D,$A14,Matches!$P:$P,1),0)))</f>
        <v>3</v>
      </c>
      <c r="R14" s="54">
        <f>IF($A14="","",MAX(IFERROR(MAXIFS(Matches!$W:$W,Matches!$C:$C,$A14,Matches!$O:$O,1),0),IFERROR(MAXIFS(Matches!$X:$X,Matches!$D:$D,$A14,Matches!$R:$R,1),0)))</f>
        <v>11</v>
      </c>
      <c r="S14" s="54">
        <f>IF($A14="","",COUNTIFS(Matches!$G:$G,"Walkover_Home",Matches!$D:$D,$A14)+COUNTIFS(Matches!$G:$G,"Walkover_Away",Matches!$C:$C,$A14))</f>
        <v>4</v>
      </c>
      <c r="T14" s="54">
        <f>IF($A14="","",COUNTIFS(Matches!$G:$G,"Walkover_Home",Matches!$C:$C,$A14)+COUNTIFS(Matches!$G:$G,"Walkover_Away",Matches!$D:$D,$A14))</f>
        <v>1</v>
      </c>
      <c r="U14" s="55">
        <f t="shared" si="7"/>
        <v>0.5555555556</v>
      </c>
      <c r="V14" s="57">
        <f>IFERROR(__xludf.DUMMYFUNCTION("IF($A14="""","""",IFERROR(
  SUM(
    INDEX(
      QUERY(
        SORT(FILTER({Log!A:A,Log!G:G},Log!B:B=$A14),1,FALSE),
        ""select Col2 limit 5"",
        0
      ),
    ,1)
  ),
0))"),6.0)</f>
        <v>6</v>
      </c>
      <c r="W14" s="57">
        <f t="shared" si="8"/>
        <v>40</v>
      </c>
      <c r="X14" s="57">
        <f>IF($A14="","",IFERROR(SUMIFS(Adjustments!$D:$D,Adjustments!$B:$B,$A14,Adjustments!$C:$C,"MP"),0))</f>
        <v>0</v>
      </c>
      <c r="Y14" s="57">
        <f>IF($A14="","",IFERROR(SUMIFS(Adjustments!$D:$D,Adjustments!$B:$B,$A14,Adjustments!$C:$C,"W"),0))</f>
        <v>0</v>
      </c>
      <c r="Z14" s="57">
        <f>IF($A14="","",IFERROR(SUMIFS(Adjustments!$D:$D,Adjustments!$B:$B,$A14,Adjustments!$C:$C,"D"),0))</f>
        <v>0</v>
      </c>
      <c r="AA14" s="57">
        <f>IF($A14="","",IFERROR(SUMIFS(Adjustments!$D:$D,Adjustments!$B:$B,$A14,Adjustments!$C:$C,"L"),0))</f>
        <v>0</v>
      </c>
      <c r="AB14" s="57">
        <f>IF($A14="","",IFERROR(SUMIFS(Adjustments!$D:$D,Adjustments!$B:$B,$A14,Adjustments!$C:$C,"GF"),0))</f>
        <v>0</v>
      </c>
      <c r="AC14" s="57">
        <f>IF($A14="","",IFERROR(SUMIFS(Adjustments!$D:$D,Adjustments!$B:$B,$A14,Adjustments!$C:$C,"GA"),0))</f>
        <v>0</v>
      </c>
      <c r="AD14" s="57">
        <f>IF($A14="","",IFERROR(SUMIFS(Adjustments!$D:$D,Adjustments!$B:$B,$A14,Adjustments!$C:$C,"GD"),0))</f>
        <v>0</v>
      </c>
      <c r="AE14" s="57">
        <f>IF($A14="","",IFERROR(SUMIFS(Adjustments!$D:$D,Adjustments!$B:$B,$A14,Adjustments!$C:$C,"PTS"),0))</f>
        <v>0</v>
      </c>
    </row>
    <row r="15">
      <c r="A15" s="32" t="str">
        <f>IF(Players!$B15="","",Players!$B15)</f>
        <v>BLAISE99</v>
      </c>
      <c r="B15" s="52">
        <f>IF($A15="","",(COUNTIFS(Matches!$C:$C,$A15,Matches!$L:$L,1)+COUNTIFS(Matches!$D:$D,$A15,Matches!$L:$L,1)) + $X15)</f>
        <v>17</v>
      </c>
      <c r="C15" s="52">
        <f>IF($A15="","",
COUNTIFS(Matches!$C:$C,$A15,Matches!$M:$M,TRUE)+COUNTIFS(Matches!$C:$C,$A15,Matches!$M:$M,1)
+COUNTIFS(Matches!$D:$D,$A15,Matches!$P:$P,TRUE)+COUNTIFS(Matches!$D:$D,$A15,Matches!$P:$P,1)
+$Y15)</f>
        <v>2</v>
      </c>
      <c r="D15" s="52">
        <f>IF($A15="","",
COUNTIFS(Matches!$C:$C,$A15,Matches!$N:$N,TRUE)+COUNTIFS(Matches!$C:$C,$A15,Matches!$N:$N,1)
+COUNTIFS(Matches!$D:$D,$A15,Matches!$Q:$Q,TRUE)+COUNTIFS(Matches!$D:$D,$A15,Matches!$Q:$Q,1)
+$Z15)</f>
        <v>0</v>
      </c>
      <c r="E15" s="52">
        <f>IF($A15="","",
COUNTIFS(Matches!$C:$C,$A15,Matches!$O:$O,TRUE)+COUNTIFS(Matches!$C:$C,$A15,Matches!$O:$O,1)
+COUNTIFS(Matches!$D:$D,$A15,Matches!$R:$R,TRUE)+COUNTIFS(Matches!$D:$D,$A15,Matches!$R:$R,1)
+$AA15)</f>
        <v>15</v>
      </c>
      <c r="F15" s="52">
        <f>IF($A15="","",(SUMIFS(Matches!$H:$H,Matches!$C:$C,$A15)+SUMIFS(Matches!$I:$I,Matches!$D:$D,$A15)) + $AB15)</f>
        <v>51</v>
      </c>
      <c r="G15" s="52">
        <f>IF($A15="","",(SUMIFS(Matches!$I:$I,Matches!$C:$C,$A15)+SUMIFS(Matches!$H:$H,Matches!$D:$D,$A15)) + $AC15)</f>
        <v>83</v>
      </c>
      <c r="H15" s="52">
        <f t="shared" si="1"/>
        <v>-32</v>
      </c>
      <c r="I15" s="52">
        <f>IF($A15="","",
SUMIFS(Matches!$J:$J,Matches!$C:$C,$A15,Matches!$L:$L,TRUE)+SUMIFS(Matches!$J:$J,Matches!$C:$C,$A15,Matches!$L:$L,1)
+SUMIFS(Matches!$K:$K,Matches!$D:$D,$A15,Matches!$L:$L,TRUE)+SUMIFS(Matches!$K:$K,Matches!$D:$D,$A15,Matches!$L:$L,1)
)</f>
        <v>6</v>
      </c>
      <c r="J15" s="52">
        <f t="shared" si="2"/>
        <v>0</v>
      </c>
      <c r="K15" s="52">
        <f>IF($A15="","",
$I15
+($Y15*Settings!$B$3)
+($Z15*Settings!$B$5)
+($AA15*Settings!$B$6)
+$AE15
)</f>
        <v>6</v>
      </c>
      <c r="L15" s="53">
        <f t="shared" si="3"/>
        <v>20</v>
      </c>
      <c r="M15" s="54">
        <f>IF($A15="","",COUNTIFS(Matches!$C:$C,$A15,Matches!$I:$I,0,Matches!$L:$L,1)+COUNTIFS(Matches!$D:$D,$A15,Matches!$H:$H,0,Matches!$L:$L,1))</f>
        <v>0</v>
      </c>
      <c r="N15" s="55">
        <f t="shared" si="4"/>
        <v>3</v>
      </c>
      <c r="O15" s="55">
        <f t="shared" si="5"/>
        <v>4.882352941</v>
      </c>
      <c r="P15" s="56">
        <f t="shared" si="6"/>
        <v>0.1176470588</v>
      </c>
      <c r="Q15" s="54">
        <f>IF($A15="","",MAX(IFERROR(MAXIFS(Matches!$U:$U,Matches!$C:$C,$A15,Matches!$M:$M,1),0),IFERROR(MAXIFS(Matches!$V:$V,Matches!$D:$D,$A15,Matches!$P:$P,1),0)))</f>
        <v>8</v>
      </c>
      <c r="R15" s="54">
        <f>IF($A15="","",MAX(IFERROR(MAXIFS(Matches!$W:$W,Matches!$C:$C,$A15,Matches!$O:$O,1),0),IFERROR(MAXIFS(Matches!$X:$X,Matches!$D:$D,$A15,Matches!$R:$R,1),0)))</f>
        <v>4</v>
      </c>
      <c r="S15" s="54">
        <f>IF($A15="","",COUNTIFS(Matches!$G:$G,"Walkover_Home",Matches!$D:$D,$A15)+COUNTIFS(Matches!$G:$G,"Walkover_Away",Matches!$C:$C,$A15))</f>
        <v>5</v>
      </c>
      <c r="T15" s="54">
        <f>IF($A15="","",COUNTIFS(Matches!$G:$G,"Walkover_Home",Matches!$C:$C,$A15)+COUNTIFS(Matches!$G:$G,"Walkover_Away",Matches!$D:$D,$A15))</f>
        <v>0</v>
      </c>
      <c r="U15" s="55">
        <f t="shared" si="7"/>
        <v>0.3529411765</v>
      </c>
      <c r="V15" s="57">
        <f>IFERROR(__xludf.DUMMYFUNCTION("IF($A15="""","""",IFERROR(
  SUM(
    INDEX(
      QUERY(
        SORT(FILTER({Log!A:A,Log!G:G},Log!B:B=$A15),1,FALSE),
        ""select Col2 limit 5"",
        0
      ),
    ,1)
  ),
0))"),0.0)</f>
        <v>0</v>
      </c>
      <c r="W15" s="57">
        <f t="shared" si="8"/>
        <v>0</v>
      </c>
      <c r="X15" s="57">
        <f>IF($A15="","",IFERROR(SUMIFS(Adjustments!$D:$D,Adjustments!$B:$B,$A15,Adjustments!$C:$C,"MP"),0))</f>
        <v>0</v>
      </c>
      <c r="Y15" s="57">
        <f>IF($A15="","",IFERROR(SUMIFS(Adjustments!$D:$D,Adjustments!$B:$B,$A15,Adjustments!$C:$C,"W"),0))</f>
        <v>0</v>
      </c>
      <c r="Z15" s="57">
        <f>IF($A15="","",IFERROR(SUMIFS(Adjustments!$D:$D,Adjustments!$B:$B,$A15,Adjustments!$C:$C,"D"),0))</f>
        <v>0</v>
      </c>
      <c r="AA15" s="57">
        <f>IF($A15="","",IFERROR(SUMIFS(Adjustments!$D:$D,Adjustments!$B:$B,$A15,Adjustments!$C:$C,"L"),0))</f>
        <v>0</v>
      </c>
      <c r="AB15" s="57">
        <f>IF($A15="","",IFERROR(SUMIFS(Adjustments!$D:$D,Adjustments!$B:$B,$A15,Adjustments!$C:$C,"GF"),0))</f>
        <v>0</v>
      </c>
      <c r="AC15" s="57">
        <f>IF($A15="","",IFERROR(SUMIFS(Adjustments!$D:$D,Adjustments!$B:$B,$A15,Adjustments!$C:$C,"GA"),0))</f>
        <v>0</v>
      </c>
      <c r="AD15" s="57">
        <f>IF($A15="","",IFERROR(SUMIFS(Adjustments!$D:$D,Adjustments!$B:$B,$A15,Adjustments!$C:$C,"GD"),0))</f>
        <v>0</v>
      </c>
      <c r="AE15" s="57">
        <f>IF($A15="","",IFERROR(SUMIFS(Adjustments!$D:$D,Adjustments!$B:$B,$A15,Adjustments!$C:$C,"PTS"),0))</f>
        <v>0</v>
      </c>
    </row>
    <row r="16">
      <c r="A16" s="32" t="str">
        <f>IF(Players!$B16="","",Players!$B16)</f>
        <v>GAMEWITHJOSH</v>
      </c>
      <c r="B16" s="52">
        <f>IF($A16="","",(COUNTIFS(Matches!$C:$C,$A16,Matches!$L:$L,1)+COUNTIFS(Matches!$D:$D,$A16,Matches!$L:$L,1)) + $X16)</f>
        <v>19</v>
      </c>
      <c r="C16" s="52">
        <f>IF($A16="","",
COUNTIFS(Matches!$C:$C,$A16,Matches!$M:$M,TRUE)+COUNTIFS(Matches!$C:$C,$A16,Matches!$M:$M,1)
+COUNTIFS(Matches!$D:$D,$A16,Matches!$P:$P,TRUE)+COUNTIFS(Matches!$D:$D,$A16,Matches!$P:$P,1)
+$Y16)</f>
        <v>8</v>
      </c>
      <c r="D16" s="52">
        <f>IF($A16="","",
COUNTIFS(Matches!$C:$C,$A16,Matches!$N:$N,TRUE)+COUNTIFS(Matches!$C:$C,$A16,Matches!$N:$N,1)
+COUNTIFS(Matches!$D:$D,$A16,Matches!$Q:$Q,TRUE)+COUNTIFS(Matches!$D:$D,$A16,Matches!$Q:$Q,1)
+$Z16)</f>
        <v>3</v>
      </c>
      <c r="E16" s="52">
        <f>IF($A16="","",
COUNTIFS(Matches!$C:$C,$A16,Matches!$O:$O,TRUE)+COUNTIFS(Matches!$C:$C,$A16,Matches!$O:$O,1)
+COUNTIFS(Matches!$D:$D,$A16,Matches!$R:$R,TRUE)+COUNTIFS(Matches!$D:$D,$A16,Matches!$R:$R,1)
+$AA16)</f>
        <v>8</v>
      </c>
      <c r="F16" s="52">
        <f>IF($A16="","",(SUMIFS(Matches!$H:$H,Matches!$C:$C,$A16)+SUMIFS(Matches!$I:$I,Matches!$D:$D,$A16)) + $AB16)</f>
        <v>96</v>
      </c>
      <c r="G16" s="52">
        <f>IF($A16="","",(SUMIFS(Matches!$I:$I,Matches!$C:$C,$A16)+SUMIFS(Matches!$H:$H,Matches!$D:$D,$A16)) + $AC16)</f>
        <v>100</v>
      </c>
      <c r="H16" s="52">
        <f t="shared" si="1"/>
        <v>-4</v>
      </c>
      <c r="I16" s="52">
        <f>IF($A16="","",
SUMIFS(Matches!$J:$J,Matches!$C:$C,$A16,Matches!$L:$L,TRUE)+SUMIFS(Matches!$J:$J,Matches!$C:$C,$A16,Matches!$L:$L,1)
+SUMIFS(Matches!$K:$K,Matches!$D:$D,$A16,Matches!$L:$L,TRUE)+SUMIFS(Matches!$K:$K,Matches!$D:$D,$A16,Matches!$L:$L,1)
)</f>
        <v>27</v>
      </c>
      <c r="J16" s="52">
        <f t="shared" si="2"/>
        <v>0</v>
      </c>
      <c r="K16" s="52">
        <f>IF($A16="","",
$I16
+($Y16*Settings!$B$3)
+($Z16*Settings!$B$5)
+($AA16*Settings!$B$6)
+$AE16
)</f>
        <v>27</v>
      </c>
      <c r="L16" s="53">
        <f t="shared" si="3"/>
        <v>12</v>
      </c>
      <c r="M16" s="54">
        <f>IF($A16="","",COUNTIFS(Matches!$C:$C,$A16,Matches!$I:$I,0,Matches!$L:$L,1)+COUNTIFS(Matches!$D:$D,$A16,Matches!$H:$H,0,Matches!$L:$L,1))</f>
        <v>1</v>
      </c>
      <c r="N16" s="55">
        <f t="shared" si="4"/>
        <v>5.052631579</v>
      </c>
      <c r="O16" s="55">
        <f t="shared" si="5"/>
        <v>5.263157895</v>
      </c>
      <c r="P16" s="56">
        <f t="shared" si="6"/>
        <v>0.4210526316</v>
      </c>
      <c r="Q16" s="54">
        <f>IF($A16="","",MAX(IFERROR(MAXIFS(Matches!$U:$U,Matches!$C:$C,$A16,Matches!$M:$M,1),0),IFERROR(MAXIFS(Matches!$V:$V,Matches!$D:$D,$A16,Matches!$P:$P,1),0)))</f>
        <v>3</v>
      </c>
      <c r="R16" s="54">
        <f>IF($A16="","",MAX(IFERROR(MAXIFS(Matches!$W:$W,Matches!$C:$C,$A16,Matches!$O:$O,1),0),IFERROR(MAXIFS(Matches!$X:$X,Matches!$D:$D,$A16,Matches!$R:$R,1),0)))</f>
        <v>8</v>
      </c>
      <c r="S16" s="54">
        <f>IF($A16="","",COUNTIFS(Matches!$G:$G,"Walkover_Home",Matches!$D:$D,$A16)+COUNTIFS(Matches!$G:$G,"Walkover_Away",Matches!$C:$C,$A16))</f>
        <v>0</v>
      </c>
      <c r="T16" s="54">
        <f>IF($A16="","",COUNTIFS(Matches!$G:$G,"Walkover_Home",Matches!$C:$C,$A16)+COUNTIFS(Matches!$G:$G,"Walkover_Away",Matches!$D:$D,$A16))</f>
        <v>1</v>
      </c>
      <c r="U16" s="55">
        <f t="shared" si="7"/>
        <v>1.421052632</v>
      </c>
      <c r="V16" s="57">
        <f>IFERROR(__xludf.DUMMYFUNCTION("IF($A16="""","""",IFERROR(
  SUM(
    INDEX(
      QUERY(
        SORT(FILTER({Log!A:A,Log!G:G},Log!B:B=$A16),1,FALSE),
        ""select Col2 limit 5"",
        0
      ),
    ,1)
  ),
0))"),6.0)</f>
        <v>6</v>
      </c>
      <c r="W16" s="57">
        <f t="shared" si="8"/>
        <v>40</v>
      </c>
      <c r="X16" s="57">
        <f>IF($A16="","",IFERROR(SUMIFS(Adjustments!$D:$D,Adjustments!$B:$B,$A16,Adjustments!$C:$C,"MP"),0))</f>
        <v>0</v>
      </c>
      <c r="Y16" s="57">
        <f>IF($A16="","",IFERROR(SUMIFS(Adjustments!$D:$D,Adjustments!$B:$B,$A16,Adjustments!$C:$C,"W"),0))</f>
        <v>0</v>
      </c>
      <c r="Z16" s="57">
        <f>IF($A16="","",IFERROR(SUMIFS(Adjustments!$D:$D,Adjustments!$B:$B,$A16,Adjustments!$C:$C,"D"),0))</f>
        <v>0</v>
      </c>
      <c r="AA16" s="57">
        <f>IF($A16="","",IFERROR(SUMIFS(Adjustments!$D:$D,Adjustments!$B:$B,$A16,Adjustments!$C:$C,"L"),0))</f>
        <v>0</v>
      </c>
      <c r="AB16" s="57">
        <f>IF($A16="","",IFERROR(SUMIFS(Adjustments!$D:$D,Adjustments!$B:$B,$A16,Adjustments!$C:$C,"GF"),0))</f>
        <v>0</v>
      </c>
      <c r="AC16" s="57">
        <f>IF($A16="","",IFERROR(SUMIFS(Adjustments!$D:$D,Adjustments!$B:$B,$A16,Adjustments!$C:$C,"GA"),0))</f>
        <v>0</v>
      </c>
      <c r="AD16" s="57">
        <f>IF($A16="","",IFERROR(SUMIFS(Adjustments!$D:$D,Adjustments!$B:$B,$A16,Adjustments!$C:$C,"GD"),0))</f>
        <v>0</v>
      </c>
      <c r="AE16" s="57">
        <f>IF($A16="","",IFERROR(SUMIFS(Adjustments!$D:$D,Adjustments!$B:$B,$A16,Adjustments!$C:$C,"PTS"),0))</f>
        <v>0</v>
      </c>
    </row>
    <row r="17">
      <c r="A17" s="32" t="str">
        <f>IF(Players!$B17="","",Players!$B17)</f>
        <v>DADABOI</v>
      </c>
      <c r="B17" s="52">
        <f>IF($A17="","",(COUNTIFS(Matches!$C:$C,$A17,Matches!$L:$L,1)+COUNTIFS(Matches!$D:$D,$A17,Matches!$L:$L,1)) + $X17)</f>
        <v>19</v>
      </c>
      <c r="C17" s="52">
        <f>IF($A17="","",
COUNTIFS(Matches!$C:$C,$A17,Matches!$M:$M,TRUE)+COUNTIFS(Matches!$C:$C,$A17,Matches!$M:$M,1)
+COUNTIFS(Matches!$D:$D,$A17,Matches!$P:$P,TRUE)+COUNTIFS(Matches!$D:$D,$A17,Matches!$P:$P,1)
+$Y17)</f>
        <v>10</v>
      </c>
      <c r="D17" s="52">
        <f>IF($A17="","",
COUNTIFS(Matches!$C:$C,$A17,Matches!$N:$N,TRUE)+COUNTIFS(Matches!$C:$C,$A17,Matches!$N:$N,1)
+COUNTIFS(Matches!$D:$D,$A17,Matches!$Q:$Q,TRUE)+COUNTIFS(Matches!$D:$D,$A17,Matches!$Q:$Q,1)
+$Z17)</f>
        <v>3</v>
      </c>
      <c r="E17" s="52">
        <f>IF($A17="","",
COUNTIFS(Matches!$C:$C,$A17,Matches!$O:$O,TRUE)+COUNTIFS(Matches!$C:$C,$A17,Matches!$O:$O,1)
+COUNTIFS(Matches!$D:$D,$A17,Matches!$R:$R,TRUE)+COUNTIFS(Matches!$D:$D,$A17,Matches!$R:$R,1)
+$AA17)</f>
        <v>6</v>
      </c>
      <c r="F17" s="52">
        <f>IF($A17="","",(SUMIFS(Matches!$H:$H,Matches!$C:$C,$A17)+SUMIFS(Matches!$I:$I,Matches!$D:$D,$A17)) + $AB17)</f>
        <v>81</v>
      </c>
      <c r="G17" s="52">
        <f>IF($A17="","",(SUMIFS(Matches!$I:$I,Matches!$C:$C,$A17)+SUMIFS(Matches!$H:$H,Matches!$D:$D,$A17)) + $AC17)</f>
        <v>74</v>
      </c>
      <c r="H17" s="52">
        <f t="shared" si="1"/>
        <v>7</v>
      </c>
      <c r="I17" s="52">
        <f>IF($A17="","",
SUMIFS(Matches!$J:$J,Matches!$C:$C,$A17,Matches!$L:$L,TRUE)+SUMIFS(Matches!$J:$J,Matches!$C:$C,$A17,Matches!$L:$L,1)
+SUMIFS(Matches!$K:$K,Matches!$D:$D,$A17,Matches!$L:$L,TRUE)+SUMIFS(Matches!$K:$K,Matches!$D:$D,$A17,Matches!$L:$L,1)
)</f>
        <v>33</v>
      </c>
      <c r="J17" s="52">
        <f t="shared" si="2"/>
        <v>0</v>
      </c>
      <c r="K17" s="52">
        <f>IF($A17="","",
$I17
+($Y17*Settings!$B$3)
+($Z17*Settings!$B$5)
+($AA17*Settings!$B$6)
+$AE17
)</f>
        <v>33</v>
      </c>
      <c r="L17" s="53">
        <f t="shared" si="3"/>
        <v>7</v>
      </c>
      <c r="M17" s="54">
        <f>IF($A17="","",COUNTIFS(Matches!$C:$C,$A17,Matches!$I:$I,0,Matches!$L:$L,1)+COUNTIFS(Matches!$D:$D,$A17,Matches!$H:$H,0,Matches!$L:$L,1))</f>
        <v>3</v>
      </c>
      <c r="N17" s="55">
        <f t="shared" si="4"/>
        <v>4.263157895</v>
      </c>
      <c r="O17" s="55">
        <f t="shared" si="5"/>
        <v>3.894736842</v>
      </c>
      <c r="P17" s="56">
        <f t="shared" si="6"/>
        <v>0.5263157895</v>
      </c>
      <c r="Q17" s="54">
        <f>IF($A17="","",MAX(IFERROR(MAXIFS(Matches!$U:$U,Matches!$C:$C,$A17,Matches!$M:$M,1),0),IFERROR(MAXIFS(Matches!$V:$V,Matches!$D:$D,$A17,Matches!$P:$P,1),0)))</f>
        <v>8</v>
      </c>
      <c r="R17" s="54">
        <f>IF($A17="","",MAX(IFERROR(MAXIFS(Matches!$W:$W,Matches!$C:$C,$A17,Matches!$O:$O,1),0),IFERROR(MAXIFS(Matches!$X:$X,Matches!$D:$D,$A17,Matches!$R:$R,1),0)))</f>
        <v>10</v>
      </c>
      <c r="S17" s="54">
        <f>IF($A17="","",COUNTIFS(Matches!$G:$G,"Walkover_Home",Matches!$D:$D,$A17)+COUNTIFS(Matches!$G:$G,"Walkover_Away",Matches!$C:$C,$A17))</f>
        <v>0</v>
      </c>
      <c r="T17" s="54">
        <f>IF($A17="","",COUNTIFS(Matches!$G:$G,"Walkover_Home",Matches!$C:$C,$A17)+COUNTIFS(Matches!$G:$G,"Walkover_Away",Matches!$D:$D,$A17))</f>
        <v>2</v>
      </c>
      <c r="U17" s="55">
        <f t="shared" si="7"/>
        <v>1.736842105</v>
      </c>
      <c r="V17" s="57">
        <f>IFERROR(__xludf.DUMMYFUNCTION("IF($A17="""","""",IFERROR(
  SUM(
    INDEX(
      QUERY(
        SORT(FILTER({Log!A:A,Log!G:G},Log!B:B=$A17),1,FALSE),
        ""select Col2 limit 5"",
        0
      ),
    ,1)
  ),
0))"),9.0)</f>
        <v>9</v>
      </c>
      <c r="W17" s="57">
        <f t="shared" si="8"/>
        <v>60</v>
      </c>
      <c r="X17" s="57">
        <f>IF($A17="","",IFERROR(SUMIFS(Adjustments!$D:$D,Adjustments!$B:$B,$A17,Adjustments!$C:$C,"MP"),0))</f>
        <v>0</v>
      </c>
      <c r="Y17" s="57">
        <f>IF($A17="","",IFERROR(SUMIFS(Adjustments!$D:$D,Adjustments!$B:$B,$A17,Adjustments!$C:$C,"W"),0))</f>
        <v>0</v>
      </c>
      <c r="Z17" s="57">
        <f>IF($A17="","",IFERROR(SUMIFS(Adjustments!$D:$D,Adjustments!$B:$B,$A17,Adjustments!$C:$C,"D"),0))</f>
        <v>0</v>
      </c>
      <c r="AA17" s="57">
        <f>IF($A17="","",IFERROR(SUMIFS(Adjustments!$D:$D,Adjustments!$B:$B,$A17,Adjustments!$C:$C,"L"),0))</f>
        <v>0</v>
      </c>
      <c r="AB17" s="57">
        <f>IF($A17="","",IFERROR(SUMIFS(Adjustments!$D:$D,Adjustments!$B:$B,$A17,Adjustments!$C:$C,"GF"),0))</f>
        <v>0</v>
      </c>
      <c r="AC17" s="57">
        <f>IF($A17="","",IFERROR(SUMIFS(Adjustments!$D:$D,Adjustments!$B:$B,$A17,Adjustments!$C:$C,"GA"),0))</f>
        <v>0</v>
      </c>
      <c r="AD17" s="57">
        <f>IF($A17="","",IFERROR(SUMIFS(Adjustments!$D:$D,Adjustments!$B:$B,$A17,Adjustments!$C:$C,"GD"),0))</f>
        <v>0</v>
      </c>
      <c r="AE17" s="57">
        <f>IF($A17="","",IFERROR(SUMIFS(Adjustments!$D:$D,Adjustments!$B:$B,$A17,Adjustments!$C:$C,"PTS"),0))</f>
        <v>0</v>
      </c>
    </row>
    <row r="18">
      <c r="A18" s="32" t="str">
        <f>IF(Players!$B18="","",Players!$B18)</f>
        <v>SON OF GOD</v>
      </c>
      <c r="B18" s="52">
        <f>IF($A18="","",(COUNTIFS(Matches!$C:$C,$A18,Matches!$L:$L,1)+COUNTIFS(Matches!$D:$D,$A18,Matches!$L:$L,1)) + $X18)</f>
        <v>19</v>
      </c>
      <c r="C18" s="52">
        <f>IF($A18="","",
COUNTIFS(Matches!$C:$C,$A18,Matches!$M:$M,TRUE)+COUNTIFS(Matches!$C:$C,$A18,Matches!$M:$M,1)
+COUNTIFS(Matches!$D:$D,$A18,Matches!$P:$P,TRUE)+COUNTIFS(Matches!$D:$D,$A18,Matches!$P:$P,1)
+$Y18)</f>
        <v>8</v>
      </c>
      <c r="D18" s="52">
        <f>IF($A18="","",
COUNTIFS(Matches!$C:$C,$A18,Matches!$N:$N,TRUE)+COUNTIFS(Matches!$C:$C,$A18,Matches!$N:$N,1)
+COUNTIFS(Matches!$D:$D,$A18,Matches!$Q:$Q,TRUE)+COUNTIFS(Matches!$D:$D,$A18,Matches!$Q:$Q,1)
+$Z18)</f>
        <v>2</v>
      </c>
      <c r="E18" s="52">
        <f>IF($A18="","",
COUNTIFS(Matches!$C:$C,$A18,Matches!$O:$O,TRUE)+COUNTIFS(Matches!$C:$C,$A18,Matches!$O:$O,1)
+COUNTIFS(Matches!$D:$D,$A18,Matches!$R:$R,TRUE)+COUNTIFS(Matches!$D:$D,$A18,Matches!$R:$R,1)
+$AA18)</f>
        <v>9</v>
      </c>
      <c r="F18" s="52">
        <f>IF($A18="","",(SUMIFS(Matches!$H:$H,Matches!$C:$C,$A18)+SUMIFS(Matches!$I:$I,Matches!$D:$D,$A18)) + $AB18)</f>
        <v>78</v>
      </c>
      <c r="G18" s="52">
        <f>IF($A18="","",(SUMIFS(Matches!$I:$I,Matches!$C:$C,$A18)+SUMIFS(Matches!$H:$H,Matches!$D:$D,$A18)) + $AC18)</f>
        <v>80</v>
      </c>
      <c r="H18" s="52">
        <f t="shared" si="1"/>
        <v>-2</v>
      </c>
      <c r="I18" s="52">
        <f>IF($A18="","",
SUMIFS(Matches!$J:$J,Matches!$C:$C,$A18,Matches!$L:$L,TRUE)+SUMIFS(Matches!$J:$J,Matches!$C:$C,$A18,Matches!$L:$L,1)
+SUMIFS(Matches!$K:$K,Matches!$D:$D,$A18,Matches!$L:$L,TRUE)+SUMIFS(Matches!$K:$K,Matches!$D:$D,$A18,Matches!$L:$L,1)
)</f>
        <v>26</v>
      </c>
      <c r="J18" s="52">
        <f t="shared" si="2"/>
        <v>0</v>
      </c>
      <c r="K18" s="52">
        <f>IF($A18="","",
$I18
+($Y18*Settings!$B$3)
+($Z18*Settings!$B$5)
+($AA18*Settings!$B$6)
+$AE18
)</f>
        <v>26</v>
      </c>
      <c r="L18" s="53">
        <f t="shared" si="3"/>
        <v>13</v>
      </c>
      <c r="M18" s="54">
        <f>IF($A18="","",COUNTIFS(Matches!$C:$C,$A18,Matches!$I:$I,0,Matches!$L:$L,1)+COUNTIFS(Matches!$D:$D,$A18,Matches!$H:$H,0,Matches!$L:$L,1))</f>
        <v>5</v>
      </c>
      <c r="N18" s="55">
        <f t="shared" si="4"/>
        <v>4.105263158</v>
      </c>
      <c r="O18" s="55">
        <f t="shared" si="5"/>
        <v>4.210526316</v>
      </c>
      <c r="P18" s="56">
        <f t="shared" si="6"/>
        <v>0.4210526316</v>
      </c>
      <c r="Q18" s="54">
        <f>IF($A18="","",MAX(IFERROR(MAXIFS(Matches!$U:$U,Matches!$C:$C,$A18,Matches!$M:$M,1),0),IFERROR(MAXIFS(Matches!$V:$V,Matches!$D:$D,$A18,Matches!$P:$P,1),0)))</f>
        <v>7</v>
      </c>
      <c r="R18" s="54">
        <f>IF($A18="","",MAX(IFERROR(MAXIFS(Matches!$W:$W,Matches!$C:$C,$A18,Matches!$O:$O,1),0),IFERROR(MAXIFS(Matches!$X:$X,Matches!$D:$D,$A18,Matches!$R:$R,1),0)))</f>
        <v>8</v>
      </c>
      <c r="S18" s="54">
        <f>IF($A18="","",COUNTIFS(Matches!$G:$G,"Walkover_Home",Matches!$D:$D,$A18)+COUNTIFS(Matches!$G:$G,"Walkover_Away",Matches!$C:$C,$A18))</f>
        <v>1</v>
      </c>
      <c r="T18" s="54">
        <f>IF($A18="","",COUNTIFS(Matches!$G:$G,"Walkover_Home",Matches!$C:$C,$A18)+COUNTIFS(Matches!$G:$G,"Walkover_Away",Matches!$D:$D,$A18))</f>
        <v>3</v>
      </c>
      <c r="U18" s="55">
        <f t="shared" si="7"/>
        <v>1.368421053</v>
      </c>
      <c r="V18" s="57">
        <f>IFERROR(__xludf.DUMMYFUNCTION("IF($A18="""","""",IFERROR(
  SUM(
    INDEX(
      QUERY(
        SORT(FILTER({Log!A:A,Log!G:G},Log!B:B=$A18),1,FALSE),
        ""select Col2 limit 5"",
        0
      ),
    ,1)
  ),
0))"),6.0)</f>
        <v>6</v>
      </c>
      <c r="W18" s="57">
        <f t="shared" si="8"/>
        <v>40</v>
      </c>
      <c r="X18" s="57">
        <f>IF($A18="","",IFERROR(SUMIFS(Adjustments!$D:$D,Adjustments!$B:$B,$A18,Adjustments!$C:$C,"MP"),0))</f>
        <v>0</v>
      </c>
      <c r="Y18" s="57">
        <f>IF($A18="","",IFERROR(SUMIFS(Adjustments!$D:$D,Adjustments!$B:$B,$A18,Adjustments!$C:$C,"W"),0))</f>
        <v>0</v>
      </c>
      <c r="Z18" s="57">
        <f>IF($A18="","",IFERROR(SUMIFS(Adjustments!$D:$D,Adjustments!$B:$B,$A18,Adjustments!$C:$C,"D"),0))</f>
        <v>0</v>
      </c>
      <c r="AA18" s="57">
        <f>IF($A18="","",IFERROR(SUMIFS(Adjustments!$D:$D,Adjustments!$B:$B,$A18,Adjustments!$C:$C,"L"),0))</f>
        <v>0</v>
      </c>
      <c r="AB18" s="57">
        <f>IF($A18="","",IFERROR(SUMIFS(Adjustments!$D:$D,Adjustments!$B:$B,$A18,Adjustments!$C:$C,"GF"),0))</f>
        <v>0</v>
      </c>
      <c r="AC18" s="57">
        <f>IF($A18="","",IFERROR(SUMIFS(Adjustments!$D:$D,Adjustments!$B:$B,$A18,Adjustments!$C:$C,"GA"),0))</f>
        <v>0</v>
      </c>
      <c r="AD18" s="57">
        <f>IF($A18="","",IFERROR(SUMIFS(Adjustments!$D:$D,Adjustments!$B:$B,$A18,Adjustments!$C:$C,"GD"),0))</f>
        <v>0</v>
      </c>
      <c r="AE18" s="57">
        <f>IF($A18="","",IFERROR(SUMIFS(Adjustments!$D:$D,Adjustments!$B:$B,$A18,Adjustments!$C:$C,"PTS"),0))</f>
        <v>0</v>
      </c>
    </row>
    <row r="19">
      <c r="A19" s="32" t="str">
        <f>IF(Players!$B19="","",Players!$B19)</f>
        <v>DRACARYS</v>
      </c>
      <c r="B19" s="52">
        <f>IF($A19="","",(COUNTIFS(Matches!$C:$C,$A19,Matches!$L:$L,1)+COUNTIFS(Matches!$D:$D,$A19,Matches!$L:$L,1)) + $X19)</f>
        <v>19</v>
      </c>
      <c r="C19" s="52">
        <f>IF($A19="","",
COUNTIFS(Matches!$C:$C,$A19,Matches!$M:$M,TRUE)+COUNTIFS(Matches!$C:$C,$A19,Matches!$M:$M,1)
+COUNTIFS(Matches!$D:$D,$A19,Matches!$P:$P,TRUE)+COUNTIFS(Matches!$D:$D,$A19,Matches!$P:$P,1)
+$Y19)</f>
        <v>10</v>
      </c>
      <c r="D19" s="52">
        <f>IF($A19="","",
COUNTIFS(Matches!$C:$C,$A19,Matches!$N:$N,TRUE)+COUNTIFS(Matches!$C:$C,$A19,Matches!$N:$N,1)
+COUNTIFS(Matches!$D:$D,$A19,Matches!$Q:$Q,TRUE)+COUNTIFS(Matches!$D:$D,$A19,Matches!$Q:$Q,1)
+$Z19)</f>
        <v>3</v>
      </c>
      <c r="E19" s="52">
        <f>IF($A19="","",
COUNTIFS(Matches!$C:$C,$A19,Matches!$O:$O,TRUE)+COUNTIFS(Matches!$C:$C,$A19,Matches!$O:$O,1)
+COUNTIFS(Matches!$D:$D,$A19,Matches!$R:$R,TRUE)+COUNTIFS(Matches!$D:$D,$A19,Matches!$R:$R,1)
+$AA19)</f>
        <v>6</v>
      </c>
      <c r="F19" s="52">
        <f>IF($A19="","",(SUMIFS(Matches!$H:$H,Matches!$C:$C,$A19)+SUMIFS(Matches!$I:$I,Matches!$D:$D,$A19)) + $AB19)</f>
        <v>79</v>
      </c>
      <c r="G19" s="52">
        <f>IF($A19="","",(SUMIFS(Matches!$I:$I,Matches!$C:$C,$A19)+SUMIFS(Matches!$H:$H,Matches!$D:$D,$A19)) + $AC19)</f>
        <v>73</v>
      </c>
      <c r="H19" s="52">
        <f t="shared" si="1"/>
        <v>6</v>
      </c>
      <c r="I19" s="52">
        <f>IF($A19="","",
SUMIFS(Matches!$J:$J,Matches!$C:$C,$A19,Matches!$L:$L,TRUE)+SUMIFS(Matches!$J:$J,Matches!$C:$C,$A19,Matches!$L:$L,1)
+SUMIFS(Matches!$K:$K,Matches!$D:$D,$A19,Matches!$L:$L,TRUE)+SUMIFS(Matches!$K:$K,Matches!$D:$D,$A19,Matches!$L:$L,1)
)</f>
        <v>33</v>
      </c>
      <c r="J19" s="52">
        <f t="shared" si="2"/>
        <v>0</v>
      </c>
      <c r="K19" s="52">
        <f>IF($A19="","",
$I19
+($Y19*Settings!$B$3)
+($Z19*Settings!$B$5)
+($AA19*Settings!$B$6)
+$AE19
)</f>
        <v>33</v>
      </c>
      <c r="L19" s="53">
        <f t="shared" si="3"/>
        <v>9</v>
      </c>
      <c r="M19" s="54">
        <f>IF($A19="","",COUNTIFS(Matches!$C:$C,$A19,Matches!$I:$I,0,Matches!$L:$L,1)+COUNTIFS(Matches!$D:$D,$A19,Matches!$H:$H,0,Matches!$L:$L,1))</f>
        <v>1</v>
      </c>
      <c r="N19" s="55">
        <f t="shared" si="4"/>
        <v>4.157894737</v>
      </c>
      <c r="O19" s="55">
        <f t="shared" si="5"/>
        <v>3.842105263</v>
      </c>
      <c r="P19" s="56">
        <f t="shared" si="6"/>
        <v>0.5263157895</v>
      </c>
      <c r="Q19" s="54">
        <f>IF($A19="","",MAX(IFERROR(MAXIFS(Matches!$U:$U,Matches!$C:$C,$A19,Matches!$M:$M,1),0),IFERROR(MAXIFS(Matches!$V:$V,Matches!$D:$D,$A19,Matches!$P:$P,1),0)))</f>
        <v>4</v>
      </c>
      <c r="R19" s="54">
        <f>IF($A19="","",MAX(IFERROR(MAXIFS(Matches!$W:$W,Matches!$C:$C,$A19,Matches!$O:$O,1),0),IFERROR(MAXIFS(Matches!$X:$X,Matches!$D:$D,$A19,Matches!$R:$R,1),0)))</f>
        <v>5</v>
      </c>
      <c r="S19" s="54">
        <f>IF($A19="","",COUNTIFS(Matches!$G:$G,"Walkover_Home",Matches!$D:$D,$A19)+COUNTIFS(Matches!$G:$G,"Walkover_Away",Matches!$C:$C,$A19))</f>
        <v>0</v>
      </c>
      <c r="T19" s="54">
        <f>IF($A19="","",COUNTIFS(Matches!$G:$G,"Walkover_Home",Matches!$C:$C,$A19)+COUNTIFS(Matches!$G:$G,"Walkover_Away",Matches!$D:$D,$A19))</f>
        <v>1</v>
      </c>
      <c r="U19" s="55">
        <f t="shared" si="7"/>
        <v>1.736842105</v>
      </c>
      <c r="V19" s="57">
        <f>IFERROR(__xludf.DUMMYFUNCTION("IF($A19="""","""",IFERROR(
  SUM(
    INDEX(
      QUERY(
        SORT(FILTER({Log!A:A,Log!G:G},Log!B:B=$A19),1,FALSE),
        ""select Col2 limit 5"",
        0
      ),
    ,1)
  ),
0))"),12.0)</f>
        <v>12</v>
      </c>
      <c r="W19" s="57">
        <f t="shared" si="8"/>
        <v>80</v>
      </c>
      <c r="X19" s="57">
        <f>IF($A19="","",IFERROR(SUMIFS(Adjustments!$D:$D,Adjustments!$B:$B,$A19,Adjustments!$C:$C,"MP"),0))</f>
        <v>0</v>
      </c>
      <c r="Y19" s="57">
        <f>IF($A19="","",IFERROR(SUMIFS(Adjustments!$D:$D,Adjustments!$B:$B,$A19,Adjustments!$C:$C,"W"),0))</f>
        <v>0</v>
      </c>
      <c r="Z19" s="57">
        <f>IF($A19="","",IFERROR(SUMIFS(Adjustments!$D:$D,Adjustments!$B:$B,$A19,Adjustments!$C:$C,"D"),0))</f>
        <v>0</v>
      </c>
      <c r="AA19" s="57">
        <f>IF($A19="","",IFERROR(SUMIFS(Adjustments!$D:$D,Adjustments!$B:$B,$A19,Adjustments!$C:$C,"L"),0))</f>
        <v>0</v>
      </c>
      <c r="AB19" s="57">
        <f>IF($A19="","",IFERROR(SUMIFS(Adjustments!$D:$D,Adjustments!$B:$B,$A19,Adjustments!$C:$C,"GF"),0))</f>
        <v>0</v>
      </c>
      <c r="AC19" s="57">
        <f>IF($A19="","",IFERROR(SUMIFS(Adjustments!$D:$D,Adjustments!$B:$B,$A19,Adjustments!$C:$C,"GA"),0))</f>
        <v>0</v>
      </c>
      <c r="AD19" s="57">
        <f>IF($A19="","",IFERROR(SUMIFS(Adjustments!$D:$D,Adjustments!$B:$B,$A19,Adjustments!$C:$C,"GD"),0))</f>
        <v>0</v>
      </c>
      <c r="AE19" s="57">
        <f>IF($A19="","",IFERROR(SUMIFS(Adjustments!$D:$D,Adjustments!$B:$B,$A19,Adjustments!$C:$C,"PTS"),0))</f>
        <v>0</v>
      </c>
    </row>
    <row r="20">
      <c r="A20" s="32" t="str">
        <f>IF(Players!$B20="","",Players!$B20)</f>
        <v>FLICK</v>
      </c>
      <c r="B20" s="52">
        <f>IF($A20="","",(COUNTIFS(Matches!$C:$C,$A20,Matches!$L:$L,1)+COUNTIFS(Matches!$D:$D,$A20,Matches!$L:$L,1)) + $X20)</f>
        <v>19</v>
      </c>
      <c r="C20" s="52">
        <f>IF($A20="","",
COUNTIFS(Matches!$C:$C,$A20,Matches!$M:$M,TRUE)+COUNTIFS(Matches!$C:$C,$A20,Matches!$M:$M,1)
+COUNTIFS(Matches!$D:$D,$A20,Matches!$P:$P,TRUE)+COUNTIFS(Matches!$D:$D,$A20,Matches!$P:$P,1)
+$Y20)</f>
        <v>2</v>
      </c>
      <c r="D20" s="52">
        <f>IF($A20="","",
COUNTIFS(Matches!$C:$C,$A20,Matches!$N:$N,TRUE)+COUNTIFS(Matches!$C:$C,$A20,Matches!$N:$N,1)
+COUNTIFS(Matches!$D:$D,$A20,Matches!$Q:$Q,TRUE)+COUNTIFS(Matches!$D:$D,$A20,Matches!$Q:$Q,1)
+$Z20)</f>
        <v>2</v>
      </c>
      <c r="E20" s="52">
        <f>IF($A20="","",
COUNTIFS(Matches!$C:$C,$A20,Matches!$O:$O,TRUE)+COUNTIFS(Matches!$C:$C,$A20,Matches!$O:$O,1)
+COUNTIFS(Matches!$D:$D,$A20,Matches!$R:$R,TRUE)+COUNTIFS(Matches!$D:$D,$A20,Matches!$R:$R,1)
+$AA20)</f>
        <v>15</v>
      </c>
      <c r="F20" s="52">
        <f>IF($A20="","",(SUMIFS(Matches!$H:$H,Matches!$C:$C,$A20)+SUMIFS(Matches!$I:$I,Matches!$D:$D,$A20)) + $AB20)</f>
        <v>39</v>
      </c>
      <c r="G20" s="52">
        <f>IF($A20="","",(SUMIFS(Matches!$I:$I,Matches!$C:$C,$A20)+SUMIFS(Matches!$H:$H,Matches!$D:$D,$A20)) + $AC20)</f>
        <v>111</v>
      </c>
      <c r="H20" s="52">
        <f t="shared" si="1"/>
        <v>-72</v>
      </c>
      <c r="I20" s="52">
        <f>IF($A20="","",
SUMIFS(Matches!$J:$J,Matches!$C:$C,$A20,Matches!$L:$L,TRUE)+SUMIFS(Matches!$J:$J,Matches!$C:$C,$A20,Matches!$L:$L,1)
+SUMIFS(Matches!$K:$K,Matches!$D:$D,$A20,Matches!$L:$L,TRUE)+SUMIFS(Matches!$K:$K,Matches!$D:$D,$A20,Matches!$L:$L,1)
)</f>
        <v>8</v>
      </c>
      <c r="J20" s="52">
        <f t="shared" si="2"/>
        <v>0</v>
      </c>
      <c r="K20" s="52">
        <f>IF($A20="","",
$I20
+($Y20*Settings!$B$3)
+($Z20*Settings!$B$5)
+($AA20*Settings!$B$6)
+$AE20
)</f>
        <v>8</v>
      </c>
      <c r="L20" s="53">
        <f t="shared" si="3"/>
        <v>19</v>
      </c>
      <c r="M20" s="54">
        <f>IF($A20="","",COUNTIFS(Matches!$C:$C,$A20,Matches!$I:$I,0,Matches!$L:$L,1)+COUNTIFS(Matches!$D:$D,$A20,Matches!$H:$H,0,Matches!$L:$L,1))</f>
        <v>0</v>
      </c>
      <c r="N20" s="55">
        <f t="shared" si="4"/>
        <v>2.052631579</v>
      </c>
      <c r="O20" s="55">
        <f t="shared" si="5"/>
        <v>5.842105263</v>
      </c>
      <c r="P20" s="56">
        <f t="shared" si="6"/>
        <v>0.1052631579</v>
      </c>
      <c r="Q20" s="54">
        <f>IF($A20="","",MAX(IFERROR(MAXIFS(Matches!$U:$U,Matches!$C:$C,$A20,Matches!$M:$M,1),0),IFERROR(MAXIFS(Matches!$V:$V,Matches!$D:$D,$A20,Matches!$P:$P,1),0)))</f>
        <v>4</v>
      </c>
      <c r="R20" s="54">
        <f>IF($A20="","",MAX(IFERROR(MAXIFS(Matches!$W:$W,Matches!$C:$C,$A20,Matches!$O:$O,1),0),IFERROR(MAXIFS(Matches!$X:$X,Matches!$D:$D,$A20,Matches!$R:$R,1),0)))</f>
        <v>14</v>
      </c>
      <c r="S20" s="54">
        <f>IF($A20="","",COUNTIFS(Matches!$G:$G,"Walkover_Home",Matches!$D:$D,$A20)+COUNTIFS(Matches!$G:$G,"Walkover_Away",Matches!$C:$C,$A20))</f>
        <v>4</v>
      </c>
      <c r="T20" s="54">
        <f>IF($A20="","",COUNTIFS(Matches!$G:$G,"Walkover_Home",Matches!$C:$C,$A20)+COUNTIFS(Matches!$G:$G,"Walkover_Away",Matches!$D:$D,$A20))</f>
        <v>0</v>
      </c>
      <c r="U20" s="55">
        <f t="shared" si="7"/>
        <v>0.4210526316</v>
      </c>
      <c r="V20" s="57">
        <f>IFERROR(__xludf.DUMMYFUNCTION("IF($A20="""","""",IFERROR(
  SUM(
    INDEX(
      QUERY(
        SORT(FILTER({Log!A:A,Log!G:G},Log!B:B=$A20),1,FALSE),
        ""select Col2 limit 5"",
        0
      ),
    ,1)
  ),
0))"),3.0)</f>
        <v>3</v>
      </c>
      <c r="W20" s="57">
        <f t="shared" si="8"/>
        <v>20</v>
      </c>
      <c r="X20" s="57">
        <f>IF($A20="","",IFERROR(SUMIFS(Adjustments!$D:$D,Adjustments!$B:$B,$A20,Adjustments!$C:$C,"MP"),0))</f>
        <v>0</v>
      </c>
      <c r="Y20" s="57">
        <f>IF($A20="","",IFERROR(SUMIFS(Adjustments!$D:$D,Adjustments!$B:$B,$A20,Adjustments!$C:$C,"W"),0))</f>
        <v>0</v>
      </c>
      <c r="Z20" s="57">
        <f>IF($A20="","",IFERROR(SUMIFS(Adjustments!$D:$D,Adjustments!$B:$B,$A20,Adjustments!$C:$C,"D"),0))</f>
        <v>0</v>
      </c>
      <c r="AA20" s="57">
        <f>IF($A20="","",IFERROR(SUMIFS(Adjustments!$D:$D,Adjustments!$B:$B,$A20,Adjustments!$C:$C,"L"),0))</f>
        <v>0</v>
      </c>
      <c r="AB20" s="57">
        <f>IF($A20="","",IFERROR(SUMIFS(Adjustments!$D:$D,Adjustments!$B:$B,$A20,Adjustments!$C:$C,"GF"),0))</f>
        <v>0</v>
      </c>
      <c r="AC20" s="57">
        <f>IF($A20="","",IFERROR(SUMIFS(Adjustments!$D:$D,Adjustments!$B:$B,$A20,Adjustments!$C:$C,"GA"),0))</f>
        <v>0</v>
      </c>
      <c r="AD20" s="57">
        <f>IF($A20="","",IFERROR(SUMIFS(Adjustments!$D:$D,Adjustments!$B:$B,$A20,Adjustments!$C:$C,"GD"),0))</f>
        <v>0</v>
      </c>
      <c r="AE20" s="57">
        <f>IF($A20="","",IFERROR(SUMIFS(Adjustments!$D:$D,Adjustments!$B:$B,$A20,Adjustments!$C:$C,"PTS"),0))</f>
        <v>0</v>
      </c>
    </row>
    <row r="21" ht="15.75" customHeight="1">
      <c r="A21" s="32" t="str">
        <f>IF(Players!$B21="","",Players!$B21)</f>
        <v>BRIGHT</v>
      </c>
      <c r="B21" s="52">
        <f>IF($A21="","",(COUNTIFS(Matches!$C:$C,$A21,Matches!$L:$L,1)+COUNTIFS(Matches!$D:$D,$A21,Matches!$L:$L,1)) + $X21)</f>
        <v>19</v>
      </c>
      <c r="C21" s="52">
        <f>IF($A21="","",
COUNTIFS(Matches!$C:$C,$A21,Matches!$M:$M,TRUE)+COUNTIFS(Matches!$C:$C,$A21,Matches!$M:$M,1)
+COUNTIFS(Matches!$D:$D,$A21,Matches!$P:$P,TRUE)+COUNTIFS(Matches!$D:$D,$A21,Matches!$P:$P,1)
+$Y21)</f>
        <v>4</v>
      </c>
      <c r="D21" s="52">
        <f>IF($A21="","",
COUNTIFS(Matches!$C:$C,$A21,Matches!$N:$N,TRUE)+COUNTIFS(Matches!$C:$C,$A21,Matches!$N:$N,1)
+COUNTIFS(Matches!$D:$D,$A21,Matches!$Q:$Q,TRUE)+COUNTIFS(Matches!$D:$D,$A21,Matches!$Q:$Q,1)
+$Z21)</f>
        <v>4</v>
      </c>
      <c r="E21" s="52">
        <f>IF($A21="","",
COUNTIFS(Matches!$C:$C,$A21,Matches!$O:$O,TRUE)+COUNTIFS(Matches!$C:$C,$A21,Matches!$O:$O,1)
+COUNTIFS(Matches!$D:$D,$A21,Matches!$R:$R,TRUE)+COUNTIFS(Matches!$D:$D,$A21,Matches!$R:$R,1)
+$AA21)</f>
        <v>11</v>
      </c>
      <c r="F21" s="52">
        <f>IF($A21="","",(SUMIFS(Matches!$H:$H,Matches!$C:$C,$A21)+SUMIFS(Matches!$I:$I,Matches!$D:$D,$A21)) + $AB21)</f>
        <v>74</v>
      </c>
      <c r="G21" s="52">
        <f>IF($A21="","",(SUMIFS(Matches!$I:$I,Matches!$C:$C,$A21)+SUMIFS(Matches!$H:$H,Matches!$D:$D,$A21)) + $AC21)</f>
        <v>100</v>
      </c>
      <c r="H21" s="52">
        <f t="shared" si="1"/>
        <v>-26</v>
      </c>
      <c r="I21" s="52">
        <f>IF($A21="","",
SUMIFS(Matches!$J:$J,Matches!$C:$C,$A21,Matches!$L:$L,TRUE)+SUMIFS(Matches!$J:$J,Matches!$C:$C,$A21,Matches!$L:$L,1)
+SUMIFS(Matches!$K:$K,Matches!$D:$D,$A21,Matches!$L:$L,TRUE)+SUMIFS(Matches!$K:$K,Matches!$D:$D,$A21,Matches!$L:$L,1)
)</f>
        <v>16</v>
      </c>
      <c r="J21" s="52">
        <f t="shared" si="2"/>
        <v>0</v>
      </c>
      <c r="K21" s="52">
        <f>IF($A21="","",
$I21
+($Y21*Settings!$B$3)
+($Z21*Settings!$B$5)
+($AA21*Settings!$B$6)
+$AE21
)</f>
        <v>16</v>
      </c>
      <c r="L21" s="53">
        <f t="shared" si="3"/>
        <v>16</v>
      </c>
      <c r="M21" s="54">
        <f>IF($A21="","",COUNTIFS(Matches!$C:$C,$A21,Matches!$I:$I,0,Matches!$L:$L,1)+COUNTIFS(Matches!$D:$D,$A21,Matches!$H:$H,0,Matches!$L:$L,1))</f>
        <v>0</v>
      </c>
      <c r="N21" s="55">
        <f t="shared" si="4"/>
        <v>3.894736842</v>
      </c>
      <c r="O21" s="55">
        <f t="shared" si="5"/>
        <v>5.263157895</v>
      </c>
      <c r="P21" s="56">
        <f t="shared" si="6"/>
        <v>0.2105263158</v>
      </c>
      <c r="Q21" s="54">
        <f>IF($A21="","",MAX(IFERROR(MAXIFS(Matches!$U:$U,Matches!$C:$C,$A21,Matches!$M:$M,1),0),IFERROR(MAXIFS(Matches!$V:$V,Matches!$D:$D,$A21,Matches!$P:$P,1),0)))</f>
        <v>3</v>
      </c>
      <c r="R21" s="54">
        <f>IF($A21="","",MAX(IFERROR(MAXIFS(Matches!$W:$W,Matches!$C:$C,$A21,Matches!$O:$O,1),0),IFERROR(MAXIFS(Matches!$X:$X,Matches!$D:$D,$A21,Matches!$R:$R,1),0)))</f>
        <v>7</v>
      </c>
      <c r="S21" s="54">
        <f>IF($A21="","",COUNTIFS(Matches!$G:$G,"Walkover_Home",Matches!$D:$D,$A21)+COUNTIFS(Matches!$G:$G,"Walkover_Away",Matches!$C:$C,$A21))</f>
        <v>0</v>
      </c>
      <c r="T21" s="54">
        <f>IF($A21="","",COUNTIFS(Matches!$G:$G,"Walkover_Home",Matches!$C:$C,$A21)+COUNTIFS(Matches!$G:$G,"Walkover_Away",Matches!$D:$D,$A21))</f>
        <v>0</v>
      </c>
      <c r="U21" s="55">
        <f t="shared" si="7"/>
        <v>0.8421052632</v>
      </c>
      <c r="V21" s="57">
        <f>IFERROR(__xludf.DUMMYFUNCTION("IF($A21="""","""",IFERROR(
  SUM(
    INDEX(
      QUERY(
        SORT(FILTER({Log!A:A,Log!G:G},Log!B:B=$A21),1,FALSE),
        ""select Col2 limit 5"",
        0
      ),
    ,1)
  ),
0))"),4.0)</f>
        <v>4</v>
      </c>
      <c r="W21" s="57">
        <f t="shared" si="8"/>
        <v>26.67</v>
      </c>
      <c r="X21" s="57">
        <f>IF($A21="","",IFERROR(SUMIFS(Adjustments!$D:$D,Adjustments!$B:$B,$A21,Adjustments!$C:$C,"MP"),0))</f>
        <v>0</v>
      </c>
      <c r="Y21" s="57">
        <f>IF($A21="","",IFERROR(SUMIFS(Adjustments!$D:$D,Adjustments!$B:$B,$A21,Adjustments!$C:$C,"W"),0))</f>
        <v>0</v>
      </c>
      <c r="Z21" s="57">
        <f>IF($A21="","",IFERROR(SUMIFS(Adjustments!$D:$D,Adjustments!$B:$B,$A21,Adjustments!$C:$C,"D"),0))</f>
        <v>0</v>
      </c>
      <c r="AA21" s="57">
        <f>IF($A21="","",IFERROR(SUMIFS(Adjustments!$D:$D,Adjustments!$B:$B,$A21,Adjustments!$C:$C,"L"),0))</f>
        <v>0</v>
      </c>
      <c r="AB21" s="57">
        <f>IF($A21="","",IFERROR(SUMIFS(Adjustments!$D:$D,Adjustments!$B:$B,$A21,Adjustments!$C:$C,"GF"),0))</f>
        <v>0</v>
      </c>
      <c r="AC21" s="57">
        <f>IF($A21="","",IFERROR(SUMIFS(Adjustments!$D:$D,Adjustments!$B:$B,$A21,Adjustments!$C:$C,"GA"),0))</f>
        <v>0</v>
      </c>
      <c r="AD21" s="57">
        <f>IF($A21="","",IFERROR(SUMIFS(Adjustments!$D:$D,Adjustments!$B:$B,$A21,Adjustments!$C:$C,"GD"),0))</f>
        <v>0</v>
      </c>
      <c r="AE21" s="57">
        <f>IF($A21="","",IFERROR(SUMIFS(Adjustments!$D:$D,Adjustments!$B:$B,$A21,Adjustments!$C:$C,"PTS"),0))</f>
        <v>0</v>
      </c>
    </row>
    <row r="22" ht="15.75" customHeight="1">
      <c r="A22" s="32" t="str">
        <f>IF(Players!$B22="","",Players!$B22)</f>
        <v>KINGNONEX</v>
      </c>
      <c r="B22" s="52">
        <f>IF($A22="","",(COUNTIFS(Matches!$C:$C,$A22,Matches!$L:$L,1)+COUNTIFS(Matches!$D:$D,$A22,Matches!$L:$L,1)) + $X22)</f>
        <v>19</v>
      </c>
      <c r="C22" s="52">
        <f>IF($A22="","",
COUNTIFS(Matches!$C:$C,$A22,Matches!$M:$M,TRUE)+COUNTIFS(Matches!$C:$C,$A22,Matches!$M:$M,1)
+COUNTIFS(Matches!$D:$D,$A22,Matches!$P:$P,TRUE)+COUNTIFS(Matches!$D:$D,$A22,Matches!$P:$P,1)
+$Y22)</f>
        <v>14</v>
      </c>
      <c r="D22" s="52">
        <f>IF($A22="","",
COUNTIFS(Matches!$C:$C,$A22,Matches!$N:$N,TRUE)+COUNTIFS(Matches!$C:$C,$A22,Matches!$N:$N,1)
+COUNTIFS(Matches!$D:$D,$A22,Matches!$Q:$Q,TRUE)+COUNTIFS(Matches!$D:$D,$A22,Matches!$Q:$Q,1)
+$Z22)</f>
        <v>4</v>
      </c>
      <c r="E22" s="52">
        <f>IF($A22="","",
COUNTIFS(Matches!$C:$C,$A22,Matches!$O:$O,TRUE)+COUNTIFS(Matches!$C:$C,$A22,Matches!$O:$O,1)
+COUNTIFS(Matches!$D:$D,$A22,Matches!$R:$R,TRUE)+COUNTIFS(Matches!$D:$D,$A22,Matches!$R:$R,1)
+$AA22)</f>
        <v>1</v>
      </c>
      <c r="F22" s="52">
        <f>IF($A22="","",(SUMIFS(Matches!$H:$H,Matches!$C:$C,$A22)+SUMIFS(Matches!$I:$I,Matches!$D:$D,$A22)) + $AB22)</f>
        <v>90</v>
      </c>
      <c r="G22" s="52">
        <f>IF($A22="","",(SUMIFS(Matches!$I:$I,Matches!$C:$C,$A22)+SUMIFS(Matches!$H:$H,Matches!$D:$D,$A22)) + $AC22)</f>
        <v>37</v>
      </c>
      <c r="H22" s="52">
        <f t="shared" si="1"/>
        <v>53</v>
      </c>
      <c r="I22" s="52">
        <f>IF($A22="","",
SUMIFS(Matches!$J:$J,Matches!$C:$C,$A22,Matches!$L:$L,TRUE)+SUMIFS(Matches!$J:$J,Matches!$C:$C,$A22,Matches!$L:$L,1)
+SUMIFS(Matches!$K:$K,Matches!$D:$D,$A22,Matches!$L:$L,TRUE)+SUMIFS(Matches!$K:$K,Matches!$D:$D,$A22,Matches!$L:$L,1)
)</f>
        <v>46</v>
      </c>
      <c r="J22" s="52">
        <f t="shared" si="2"/>
        <v>0</v>
      </c>
      <c r="K22" s="52">
        <f>IF($A22="","",
$I22
+($Y22*Settings!$B$3)
+($Z22*Settings!$B$5)
+($AA22*Settings!$B$6)
+$AE22
)</f>
        <v>46</v>
      </c>
      <c r="L22" s="53">
        <f t="shared" si="3"/>
        <v>1</v>
      </c>
      <c r="M22" s="54">
        <f>IF($A22="","",COUNTIFS(Matches!$C:$C,$A22,Matches!$I:$I,0,Matches!$L:$L,1)+COUNTIFS(Matches!$D:$D,$A22,Matches!$H:$H,0,Matches!$L:$L,1))</f>
        <v>4</v>
      </c>
      <c r="N22" s="55">
        <f t="shared" si="4"/>
        <v>4.736842105</v>
      </c>
      <c r="O22" s="55">
        <f t="shared" si="5"/>
        <v>1.947368421</v>
      </c>
      <c r="P22" s="56">
        <f t="shared" si="6"/>
        <v>0.7368421053</v>
      </c>
      <c r="Q22" s="54">
        <f>IF($A22="","",MAX(IFERROR(MAXIFS(Matches!$U:$U,Matches!$C:$C,$A22,Matches!$M:$M,1),0),IFERROR(MAXIFS(Matches!$V:$V,Matches!$D:$D,$A22,Matches!$P:$P,1),0)))</f>
        <v>10</v>
      </c>
      <c r="R22" s="54">
        <f>IF($A22="","",MAX(IFERROR(MAXIFS(Matches!$W:$W,Matches!$C:$C,$A22,Matches!$O:$O,1),0),IFERROR(MAXIFS(Matches!$X:$X,Matches!$D:$D,$A22,Matches!$R:$R,1),0)))</f>
        <v>1</v>
      </c>
      <c r="S22" s="54">
        <f>IF($A22="","",COUNTIFS(Matches!$G:$G,"Walkover_Home",Matches!$D:$D,$A22)+COUNTIFS(Matches!$G:$G,"Walkover_Away",Matches!$C:$C,$A22))</f>
        <v>0</v>
      </c>
      <c r="T22" s="54">
        <f>IF($A22="","",COUNTIFS(Matches!$G:$G,"Walkover_Home",Matches!$C:$C,$A22)+COUNTIFS(Matches!$G:$G,"Walkover_Away",Matches!$D:$D,$A22))</f>
        <v>2</v>
      </c>
      <c r="U22" s="55">
        <f t="shared" si="7"/>
        <v>2.421052632</v>
      </c>
      <c r="V22" s="57">
        <f>IFERROR(__xludf.DUMMYFUNCTION("IF($A22="""","""",IFERROR(
  SUM(
    INDEX(
      QUERY(
        SORT(FILTER({Log!A:A,Log!G:G},Log!B:B=$A22),1,FALSE),
        ""select Col2 limit 5"",
        0
      ),
    ,1)
  ),
0))"),15.0)</f>
        <v>15</v>
      </c>
      <c r="W22" s="57">
        <f t="shared" si="8"/>
        <v>100</v>
      </c>
      <c r="X22" s="57">
        <f>IF($A22="","",IFERROR(SUMIFS(Adjustments!$D:$D,Adjustments!$B:$B,$A22,Adjustments!$C:$C,"MP"),0))</f>
        <v>0</v>
      </c>
      <c r="Y22" s="57">
        <f>IF($A22="","",IFERROR(SUMIFS(Adjustments!$D:$D,Adjustments!$B:$B,$A22,Adjustments!$C:$C,"W"),0))</f>
        <v>0</v>
      </c>
      <c r="Z22" s="57">
        <f>IF($A22="","",IFERROR(SUMIFS(Adjustments!$D:$D,Adjustments!$B:$B,$A22,Adjustments!$C:$C,"D"),0))</f>
        <v>0</v>
      </c>
      <c r="AA22" s="57">
        <f>IF($A22="","",IFERROR(SUMIFS(Adjustments!$D:$D,Adjustments!$B:$B,$A22,Adjustments!$C:$C,"L"),0))</f>
        <v>0</v>
      </c>
      <c r="AB22" s="57">
        <f>IF($A22="","",IFERROR(SUMIFS(Adjustments!$D:$D,Adjustments!$B:$B,$A22,Adjustments!$C:$C,"GF"),0))</f>
        <v>0</v>
      </c>
      <c r="AC22" s="57">
        <f>IF($A22="","",IFERROR(SUMIFS(Adjustments!$D:$D,Adjustments!$B:$B,$A22,Adjustments!$C:$C,"GA"),0))</f>
        <v>0</v>
      </c>
      <c r="AD22" s="57">
        <f>IF($A22="","",IFERROR(SUMIFS(Adjustments!$D:$D,Adjustments!$B:$B,$A22,Adjustments!$C:$C,"GD"),0))</f>
        <v>0</v>
      </c>
      <c r="AE22" s="57">
        <f>IF($A22="","",IFERROR(SUMIFS(Adjustments!$D:$D,Adjustments!$B:$B,$A22,Adjustments!$C:$C,"PTS"),0))</f>
        <v>0</v>
      </c>
    </row>
    <row r="23" ht="15.75" customHeight="1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8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</row>
    <row r="24" ht="15.75" customHeight="1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 ht="15.75" customHeight="1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</row>
    <row r="26" ht="15.75" customHeight="1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</row>
    <row r="27" ht="15.75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</row>
    <row r="28" ht="15.75" customHeight="1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</row>
    <row r="29" ht="15.75" customHeigh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</row>
    <row r="30" ht="15.75" customHeight="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</row>
    <row r="31" ht="15.75" customHeigh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</row>
    <row r="32" ht="15.75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</row>
    <row r="33" ht="15.75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</row>
    <row r="34" ht="15.75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</row>
    <row r="35" ht="15.75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</row>
    <row r="36" ht="15.7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</row>
    <row r="37" ht="15.7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</row>
    <row r="38" ht="15.75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</row>
    <row r="39" ht="15.75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</row>
    <row r="40" ht="15.75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</row>
    <row r="41" ht="15.75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</row>
    <row r="42" ht="15.75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</row>
    <row r="43" ht="15.75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</row>
    <row r="44" ht="15.7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</row>
    <row r="45" ht="15.7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</row>
    <row r="46" ht="15.7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</row>
    <row r="47" ht="15.75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</row>
    <row r="48" ht="15.75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</row>
    <row r="49" ht="15.75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</row>
    <row r="50" ht="15.7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</row>
    <row r="51" ht="15.75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</row>
    <row r="52" ht="15.75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</row>
    <row r="53" ht="15.75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</row>
    <row r="54" ht="15.75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</row>
    <row r="55" ht="15.75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</row>
    <row r="56" ht="15.75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</row>
    <row r="57" ht="15.75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</row>
    <row r="58" ht="15.7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</row>
    <row r="59" ht="15.7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</row>
    <row r="60" ht="15.7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</row>
    <row r="61" ht="15.7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</row>
    <row r="62" ht="15.7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</row>
    <row r="63" ht="15.7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</row>
    <row r="64" ht="15.7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</row>
    <row r="65" ht="15.7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</row>
    <row r="66" ht="15.7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</row>
    <row r="67" ht="15.7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</row>
    <row r="68" ht="15.7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</row>
    <row r="69" ht="15.7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</row>
    <row r="70" ht="15.7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</row>
    <row r="71" ht="15.7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</row>
    <row r="72" ht="15.7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</row>
    <row r="73" ht="15.7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</row>
    <row r="74" ht="15.7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</row>
    <row r="75" ht="15.7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</row>
    <row r="76" ht="15.7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</row>
    <row r="77" ht="15.7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</row>
    <row r="78" ht="15.7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</row>
    <row r="79" ht="15.7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</row>
    <row r="80" ht="15.7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</row>
    <row r="81" ht="15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</row>
    <row r="82" ht="15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</row>
    <row r="83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</row>
    <row r="84" ht="15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</row>
    <row r="85" ht="15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</row>
    <row r="86" ht="15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</row>
    <row r="87" ht="15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</row>
    <row r="88" ht="15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</row>
    <row r="89" ht="15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</row>
    <row r="90" ht="15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</row>
    <row r="91" ht="15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</row>
    <row r="92" ht="15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</row>
    <row r="93" ht="15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</row>
    <row r="94" ht="15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</row>
    <row r="95" ht="15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</row>
    <row r="96" ht="15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</row>
    <row r="97" ht="15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</row>
    <row r="98" ht="15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</row>
    <row r="99" ht="15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</row>
    <row r="100" ht="15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</row>
    <row r="101" ht="15.7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</row>
    <row r="102" ht="15.7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</row>
    <row r="103" ht="15.7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</row>
    <row r="104" ht="15.7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</row>
    <row r="105" ht="15.7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</row>
    <row r="106" ht="15.7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</row>
    <row r="107" ht="15.7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</row>
    <row r="108" ht="15.7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</row>
    <row r="109" ht="15.7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</row>
    <row r="110" ht="15.7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</row>
    <row r="111" ht="15.7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</row>
    <row r="112" ht="15.7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</row>
    <row r="113" ht="15.7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</row>
    <row r="114" ht="15.7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</row>
    <row r="115" ht="15.7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</row>
    <row r="116" ht="15.7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</row>
    <row r="117" ht="15.7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</row>
    <row r="118" ht="15.7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</row>
    <row r="119" ht="15.7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</row>
    <row r="120" ht="15.7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</row>
    <row r="121" ht="15.7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</row>
    <row r="122" ht="15.7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</row>
    <row r="123" ht="15.7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</row>
    <row r="124" ht="15.7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</row>
    <row r="125" ht="15.7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</row>
    <row r="126" ht="15.7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</row>
    <row r="127" ht="15.7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</row>
    <row r="128" ht="15.7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</row>
    <row r="129" ht="15.7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</row>
    <row r="130" ht="15.7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</row>
    <row r="131" ht="15.7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</row>
    <row r="132" ht="15.7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</row>
    <row r="133" ht="15.7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</row>
    <row r="134" ht="15.7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</row>
    <row r="135" ht="15.7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</row>
    <row r="136" ht="15.7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</row>
    <row r="137" ht="15.7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</row>
    <row r="138" ht="15.7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</row>
    <row r="139" ht="15.7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</row>
    <row r="140" ht="15.7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</row>
    <row r="141" ht="15.7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</row>
    <row r="142" ht="15.7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</row>
    <row r="143" ht="15.7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</row>
    <row r="144" ht="15.7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</row>
    <row r="145" ht="15.7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</row>
    <row r="146" ht="15.7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</row>
    <row r="147" ht="15.7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</row>
    <row r="148" ht="15.7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</row>
    <row r="149" ht="15.7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</row>
    <row r="150" ht="15.7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</row>
    <row r="151" ht="15.7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</row>
    <row r="152" ht="15.7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</row>
    <row r="153" ht="15.7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</row>
    <row r="154" ht="15.7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</row>
    <row r="155" ht="15.7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</row>
    <row r="156" ht="15.7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</row>
    <row r="157" ht="15.7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</row>
    <row r="158" ht="15.7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</row>
    <row r="159" ht="15.7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</row>
    <row r="160" ht="15.7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</row>
    <row r="161" ht="15.7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</row>
    <row r="162" ht="15.7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</row>
    <row r="163" ht="15.7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</row>
    <row r="164" ht="15.7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</row>
    <row r="165" ht="15.7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</row>
    <row r="166" ht="15.7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</row>
    <row r="167" ht="15.7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</row>
    <row r="168" ht="15.7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</row>
    <row r="169" ht="15.7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</row>
    <row r="170" ht="15.7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</row>
    <row r="171" ht="15.7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</row>
    <row r="172" ht="15.7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</row>
    <row r="173" ht="15.7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</row>
    <row r="174" ht="15.7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</row>
    <row r="175" ht="15.7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</row>
    <row r="176" ht="15.7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</row>
    <row r="177" ht="15.7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</row>
    <row r="178" ht="15.7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</row>
    <row r="179" ht="15.7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</row>
    <row r="180" ht="15.7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</row>
    <row r="181" ht="15.7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</row>
    <row r="182" ht="15.7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</row>
    <row r="183" ht="15.7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</row>
    <row r="184" ht="15.7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</row>
    <row r="185" ht="15.7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</row>
    <row r="186" ht="15.7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</row>
    <row r="187" ht="15.7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</row>
    <row r="188" ht="15.7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</row>
    <row r="189" ht="15.7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</row>
    <row r="190" ht="15.7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</row>
    <row r="191" ht="15.7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</row>
    <row r="192" ht="15.7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</row>
    <row r="193" ht="15.7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</row>
    <row r="194" ht="15.7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</row>
    <row r="195" ht="15.7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</row>
    <row r="196" ht="15.7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</row>
    <row r="197" ht="15.7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</row>
    <row r="198" ht="15.7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</row>
    <row r="199" ht="15.7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</row>
    <row r="200" ht="15.7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</row>
    <row r="201" ht="15.7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</row>
    <row r="202" ht="15.7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</row>
    <row r="203" ht="15.7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</row>
    <row r="204" ht="15.7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</row>
    <row r="205" ht="15.7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</row>
    <row r="206" ht="15.7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</row>
    <row r="207" ht="15.7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</row>
    <row r="208" ht="15.7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</row>
    <row r="209" ht="15.7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</row>
    <row r="210" ht="15.7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</row>
    <row r="211" ht="15.7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</row>
    <row r="212" ht="15.7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</row>
    <row r="213" ht="15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</row>
    <row r="214" ht="15.7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</row>
    <row r="215" ht="15.7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</row>
    <row r="216" ht="15.7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</row>
    <row r="217" ht="15.7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</row>
    <row r="218" ht="15.7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</row>
    <row r="219" ht="15.7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</row>
    <row r="220" ht="15.7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</row>
    <row r="221" ht="15.7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</row>
    <row r="222" ht="15.7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</row>
  </sheetData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2.0"/>
    <col customWidth="1" min="3" max="6" width="6.0"/>
    <col customWidth="1" min="7" max="9" width="8.0"/>
    <col customWidth="1" min="10" max="10" width="12.0"/>
    <col customWidth="1" min="11" max="11" width="10.0"/>
    <col customWidth="1" min="12" max="12" width="12.29"/>
    <col customWidth="1" min="13" max="26" width="8.71"/>
  </cols>
  <sheetData>
    <row r="1">
      <c r="A1" s="60" t="s">
        <v>157</v>
      </c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35.25" customHeight="1">
      <c r="A2" s="62" t="s">
        <v>43</v>
      </c>
      <c r="B2" s="35" t="s">
        <v>141</v>
      </c>
      <c r="C2" s="36" t="s">
        <v>158</v>
      </c>
      <c r="D2" s="35" t="s">
        <v>8</v>
      </c>
      <c r="E2" s="35" t="s">
        <v>12</v>
      </c>
      <c r="F2" s="35" t="s">
        <v>16</v>
      </c>
      <c r="G2" s="35" t="s">
        <v>19</v>
      </c>
      <c r="H2" s="35" t="s">
        <v>23</v>
      </c>
      <c r="I2" s="35" t="s">
        <v>27</v>
      </c>
      <c r="J2" s="36" t="s">
        <v>159</v>
      </c>
      <c r="K2" s="36" t="s">
        <v>160</v>
      </c>
      <c r="L2" s="36" t="s">
        <v>161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>
      <c r="A3" s="38">
        <v>1.0</v>
      </c>
      <c r="B3" s="64" t="str">
        <f t="array" ref="B3">IFERROR(INDEX(Stats!$A$3:$A$22,MATCH($A3,Stats!$L$3:$L$22,0)),"")</f>
        <v>KINGNONEX</v>
      </c>
      <c r="C3" s="38">
        <f t="array" ref="C3">IF($B3="","",INDEX(Stats!$B$3:$B$22,MATCH($A3,Stats!$L$3:$L$22,0)))</f>
        <v>19</v>
      </c>
      <c r="D3" s="38">
        <f t="array" ref="D3">IF($B3="","",INDEX(Stats!$C$3:$C$22,MATCH($A3,Stats!$L$3:$L$22,0)))</f>
        <v>14</v>
      </c>
      <c r="E3" s="38">
        <f t="array" ref="E3">IF($B3="","",INDEX(Stats!$D$3:$D$22,MATCH($A3,Stats!$L$3:$L$22,0)))</f>
        <v>4</v>
      </c>
      <c r="F3" s="38">
        <f t="array" ref="F3">IF($B3="","",INDEX(Stats!$E$3:$E$22,MATCH($A3,Stats!$L$3:$L$22,0)))</f>
        <v>1</v>
      </c>
      <c r="G3" s="38">
        <f t="array" ref="G3">IF($B3="","",INDEX(Stats!$F$3:$F$22,MATCH($A3,Stats!$L$3:$L$22,0)))</f>
        <v>90</v>
      </c>
      <c r="H3" s="38">
        <f t="array" ref="H3">IF($B3="","",INDEX(Stats!$G$3:$G$22,MATCH($A3,Stats!$L$3:$L$22,0)))</f>
        <v>37</v>
      </c>
      <c r="I3" s="38">
        <f t="array" ref="I3">IF($B3="","",INDEX(Stats!$H$3:$H$22,MATCH($A3,Stats!$L$3:$L$22,0)))</f>
        <v>53</v>
      </c>
      <c r="J3" s="38">
        <f t="array" ref="J3">IF($B3="","",INDEX(Stats!$I$3:$I$22,MATCH($A3,Stats!$L$3:$L$22,0)))</f>
        <v>46</v>
      </c>
      <c r="K3" s="38">
        <f t="array" ref="K3">IF($B3="","",INDEX(Stats!$J$3:$J$22,MATCH($A3,Stats!$L$3:$L$22,0)))</f>
        <v>0</v>
      </c>
      <c r="L3" s="64">
        <f t="array" ref="L3">IF($B3="","",INDEX(Stats!$K$3:$K$22,MATCH($A3,Stats!$L$3:$L$22,0)))</f>
        <v>46</v>
      </c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>
      <c r="A4" s="38">
        <v>2.0</v>
      </c>
      <c r="B4" s="64" t="str">
        <f t="array" ref="B4">IFERROR(INDEX(Stats!$A$3:$A$22,MATCH($A4,Stats!$L$3:$L$22,0)),"")</f>
        <v>KAYKAY</v>
      </c>
      <c r="C4" s="38">
        <f t="array" ref="C4">IF($B4="","",INDEX(Stats!$B$3:$B$22,MATCH($A4,Stats!$L$3:$L$22,0)))</f>
        <v>19</v>
      </c>
      <c r="D4" s="38">
        <f t="array" ref="D4">IF($B4="","",INDEX(Stats!$C$3:$C$22,MATCH($A4,Stats!$L$3:$L$22,0)))</f>
        <v>14</v>
      </c>
      <c r="E4" s="38">
        <f t="array" ref="E4">IF($B4="","",INDEX(Stats!$D$3:$D$22,MATCH($A4,Stats!$L$3:$L$22,0)))</f>
        <v>2</v>
      </c>
      <c r="F4" s="38">
        <f t="array" ref="F4">IF($B4="","",INDEX(Stats!$E$3:$E$22,MATCH($A4,Stats!$L$3:$L$22,0)))</f>
        <v>3</v>
      </c>
      <c r="G4" s="38">
        <f t="array" ref="G4">IF($B4="","",INDEX(Stats!$F$3:$F$22,MATCH($A4,Stats!$L$3:$L$22,0)))</f>
        <v>108</v>
      </c>
      <c r="H4" s="38">
        <f t="array" ref="H4">IF($B4="","",INDEX(Stats!$G$3:$G$22,MATCH($A4,Stats!$L$3:$L$22,0)))</f>
        <v>73</v>
      </c>
      <c r="I4" s="38">
        <f t="array" ref="I4">IF($B4="","",INDEX(Stats!$H$3:$H$22,MATCH($A4,Stats!$L$3:$L$22,0)))</f>
        <v>35</v>
      </c>
      <c r="J4" s="38">
        <f t="array" ref="J4">IF($B4="","",INDEX(Stats!$I$3:$I$22,MATCH($A4,Stats!$L$3:$L$22,0)))</f>
        <v>44</v>
      </c>
      <c r="K4" s="38">
        <f t="array" ref="K4">IF($B4="","",INDEX(Stats!$J$3:$J$22,MATCH($A4,Stats!$L$3:$L$22,0)))</f>
        <v>0</v>
      </c>
      <c r="L4" s="64">
        <f t="array" ref="L4">IF($B4="","",INDEX(Stats!$K$3:$K$22,MATCH($A4,Stats!$L$3:$L$22,0)))</f>
        <v>44</v>
      </c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>
      <c r="A5" s="38">
        <v>3.0</v>
      </c>
      <c r="B5" s="64" t="str">
        <f t="array" ref="B5">IFERROR(INDEX(Stats!$A$3:$A$22,MATCH($A5,Stats!$L$3:$L$22,0)),"")</f>
        <v>GURU</v>
      </c>
      <c r="C5" s="38">
        <f t="array" ref="C5">IF($B5="","",INDEX(Stats!$B$3:$B$22,MATCH($A5,Stats!$L$3:$L$22,0)))</f>
        <v>19</v>
      </c>
      <c r="D5" s="38">
        <f t="array" ref="D5">IF($B5="","",INDEX(Stats!$C$3:$C$22,MATCH($A5,Stats!$L$3:$L$22,0)))</f>
        <v>11</v>
      </c>
      <c r="E5" s="38">
        <f t="array" ref="E5">IF($B5="","",INDEX(Stats!$D$3:$D$22,MATCH($A5,Stats!$L$3:$L$22,0)))</f>
        <v>4</v>
      </c>
      <c r="F5" s="38">
        <f t="array" ref="F5">IF($B5="","",INDEX(Stats!$E$3:$E$22,MATCH($A5,Stats!$L$3:$L$22,0)))</f>
        <v>4</v>
      </c>
      <c r="G5" s="38">
        <f t="array" ref="G5">IF($B5="","",INDEX(Stats!$F$3:$F$22,MATCH($A5,Stats!$L$3:$L$22,0)))</f>
        <v>109</v>
      </c>
      <c r="H5" s="38">
        <f t="array" ref="H5">IF($B5="","",INDEX(Stats!$G$3:$G$22,MATCH($A5,Stats!$L$3:$L$22,0)))</f>
        <v>76</v>
      </c>
      <c r="I5" s="38">
        <f t="array" ref="I5">IF($B5="","",INDEX(Stats!$H$3:$H$22,MATCH($A5,Stats!$L$3:$L$22,0)))</f>
        <v>33</v>
      </c>
      <c r="J5" s="38">
        <f t="array" ref="J5">IF($B5="","",INDEX(Stats!$I$3:$I$22,MATCH($A5,Stats!$L$3:$L$22,0)))</f>
        <v>37</v>
      </c>
      <c r="K5" s="38">
        <f t="array" ref="K5">IF($B5="","",INDEX(Stats!$J$3:$J$22,MATCH($A5,Stats!$L$3:$L$22,0)))</f>
        <v>0</v>
      </c>
      <c r="L5" s="64">
        <f t="array" ref="L5">IF($B5="","",INDEX(Stats!$K$3:$K$22,MATCH($A5,Stats!$L$3:$L$22,0)))</f>
        <v>37</v>
      </c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>
      <c r="A6" s="38">
        <v>4.0</v>
      </c>
      <c r="B6" s="64" t="str">
        <f t="array" ref="B6">IFERROR(INDEX(Stats!$A$3:$A$22,MATCH($A6,Stats!$L$3:$L$22,0)),"")</f>
        <v>ANIFE</v>
      </c>
      <c r="C6" s="38">
        <f t="array" ref="C6">IF($B6="","",INDEX(Stats!$B$3:$B$22,MATCH($A6,Stats!$L$3:$L$22,0)))</f>
        <v>19</v>
      </c>
      <c r="D6" s="38">
        <f t="array" ref="D6">IF($B6="","",INDEX(Stats!$C$3:$C$22,MATCH($A6,Stats!$L$3:$L$22,0)))</f>
        <v>11</v>
      </c>
      <c r="E6" s="38">
        <f t="array" ref="E6">IF($B6="","",INDEX(Stats!$D$3:$D$22,MATCH($A6,Stats!$L$3:$L$22,0)))</f>
        <v>3</v>
      </c>
      <c r="F6" s="38">
        <f t="array" ref="F6">IF($B6="","",INDEX(Stats!$E$3:$E$22,MATCH($A6,Stats!$L$3:$L$22,0)))</f>
        <v>5</v>
      </c>
      <c r="G6" s="38">
        <f t="array" ref="G6">IF($B6="","",INDEX(Stats!$F$3:$F$22,MATCH($A6,Stats!$L$3:$L$22,0)))</f>
        <v>117</v>
      </c>
      <c r="H6" s="38">
        <f t="array" ref="H6">IF($B6="","",INDEX(Stats!$G$3:$G$22,MATCH($A6,Stats!$L$3:$L$22,0)))</f>
        <v>81</v>
      </c>
      <c r="I6" s="38">
        <f t="array" ref="I6">IF($B6="","",INDEX(Stats!$H$3:$H$22,MATCH($A6,Stats!$L$3:$L$22,0)))</f>
        <v>36</v>
      </c>
      <c r="J6" s="38">
        <f t="array" ref="J6">IF($B6="","",INDEX(Stats!$I$3:$I$22,MATCH($A6,Stats!$L$3:$L$22,0)))</f>
        <v>36</v>
      </c>
      <c r="K6" s="38">
        <f t="array" ref="K6">IF($B6="","",INDEX(Stats!$J$3:$J$22,MATCH($A6,Stats!$L$3:$L$22,0)))</f>
        <v>0</v>
      </c>
      <c r="L6" s="64">
        <f t="array" ref="L6">IF($B6="","",INDEX(Stats!$K$3:$K$22,MATCH($A6,Stats!$L$3:$L$22,0)))</f>
        <v>36</v>
      </c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>
      <c r="A7" s="38">
        <v>5.0</v>
      </c>
      <c r="B7" s="64" t="str">
        <f t="array" ref="B7">IFERROR(INDEX(Stats!$A$3:$A$22,MATCH($A7,Stats!$L$3:$L$22,0)),"")</f>
        <v>TACTICAL</v>
      </c>
      <c r="C7" s="38">
        <f t="array" ref="C7">IF($B7="","",INDEX(Stats!$B$3:$B$22,MATCH($A7,Stats!$L$3:$L$22,0)))</f>
        <v>19</v>
      </c>
      <c r="D7" s="38">
        <f t="array" ref="D7">IF($B7="","",INDEX(Stats!$C$3:$C$22,MATCH($A7,Stats!$L$3:$L$22,0)))</f>
        <v>11</v>
      </c>
      <c r="E7" s="38">
        <f t="array" ref="E7">IF($B7="","",INDEX(Stats!$D$3:$D$22,MATCH($A7,Stats!$L$3:$L$22,0)))</f>
        <v>2</v>
      </c>
      <c r="F7" s="38">
        <f t="array" ref="F7">IF($B7="","",INDEX(Stats!$E$3:$E$22,MATCH($A7,Stats!$L$3:$L$22,0)))</f>
        <v>6</v>
      </c>
      <c r="G7" s="38">
        <f t="array" ref="G7">IF($B7="","",INDEX(Stats!$F$3:$F$22,MATCH($A7,Stats!$L$3:$L$22,0)))</f>
        <v>93</v>
      </c>
      <c r="H7" s="38">
        <f t="array" ref="H7">IF($B7="","",INDEX(Stats!$G$3:$G$22,MATCH($A7,Stats!$L$3:$L$22,0)))</f>
        <v>75</v>
      </c>
      <c r="I7" s="38">
        <f t="array" ref="I7">IF($B7="","",INDEX(Stats!$H$3:$H$22,MATCH($A7,Stats!$L$3:$L$22,0)))</f>
        <v>18</v>
      </c>
      <c r="J7" s="38">
        <f t="array" ref="J7">IF($B7="","",INDEX(Stats!$I$3:$I$22,MATCH($A7,Stats!$L$3:$L$22,0)))</f>
        <v>35</v>
      </c>
      <c r="K7" s="38">
        <f t="array" ref="K7">IF($B7="","",INDEX(Stats!$J$3:$J$22,MATCH($A7,Stats!$L$3:$L$22,0)))</f>
        <v>0</v>
      </c>
      <c r="L7" s="64">
        <f t="array" ref="L7">IF($B7="","",INDEX(Stats!$K$3:$K$22,MATCH($A7,Stats!$L$3:$L$22,0)))</f>
        <v>35</v>
      </c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>
      <c r="A8" s="38">
        <v>6.0</v>
      </c>
      <c r="B8" s="64" t="str">
        <f t="array" ref="B8">IFERROR(INDEX(Stats!$A$3:$A$22,MATCH($A8,Stats!$L$3:$L$22,0)),"")</f>
        <v>MR OGA</v>
      </c>
      <c r="C8" s="38">
        <f t="array" ref="C8">IF($B8="","",INDEX(Stats!$B$3:$B$22,MATCH($A8,Stats!$L$3:$L$22,0)))</f>
        <v>19</v>
      </c>
      <c r="D8" s="38">
        <f t="array" ref="D8">IF($B8="","",INDEX(Stats!$C$3:$C$22,MATCH($A8,Stats!$L$3:$L$22,0)))</f>
        <v>10</v>
      </c>
      <c r="E8" s="38">
        <f t="array" ref="E8">IF($B8="","",INDEX(Stats!$D$3:$D$22,MATCH($A8,Stats!$L$3:$L$22,0)))</f>
        <v>3</v>
      </c>
      <c r="F8" s="38">
        <f t="array" ref="F8">IF($B8="","",INDEX(Stats!$E$3:$E$22,MATCH($A8,Stats!$L$3:$L$22,0)))</f>
        <v>6</v>
      </c>
      <c r="G8" s="38">
        <f t="array" ref="G8">IF($B8="","",INDEX(Stats!$F$3:$F$22,MATCH($A8,Stats!$L$3:$L$22,0)))</f>
        <v>101</v>
      </c>
      <c r="H8" s="38">
        <f t="array" ref="H8">IF($B8="","",INDEX(Stats!$G$3:$G$22,MATCH($A8,Stats!$L$3:$L$22,0)))</f>
        <v>87</v>
      </c>
      <c r="I8" s="38">
        <f t="array" ref="I8">IF($B8="","",INDEX(Stats!$H$3:$H$22,MATCH($A8,Stats!$L$3:$L$22,0)))</f>
        <v>14</v>
      </c>
      <c r="J8" s="38">
        <f t="array" ref="J8">IF($B8="","",INDEX(Stats!$I$3:$I$22,MATCH($A8,Stats!$L$3:$L$22,0)))</f>
        <v>33</v>
      </c>
      <c r="K8" s="38">
        <f t="array" ref="K8">IF($B8="","",INDEX(Stats!$J$3:$J$22,MATCH($A8,Stats!$L$3:$L$22,0)))</f>
        <v>0</v>
      </c>
      <c r="L8" s="64">
        <f t="array" ref="L8">IF($B8="","",INDEX(Stats!$K$3:$K$22,MATCH($A8,Stats!$L$3:$L$22,0)))</f>
        <v>33</v>
      </c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>
      <c r="A9" s="38">
        <v>7.0</v>
      </c>
      <c r="B9" s="64" t="str">
        <f t="array" ref="B9">IFERROR(INDEX(Stats!$A$3:$A$22,MATCH($A9,Stats!$L$3:$L$22,0)),"")</f>
        <v>DADABOI</v>
      </c>
      <c r="C9" s="38">
        <f t="array" ref="C9">IF($B9="","",INDEX(Stats!$B$3:$B$22,MATCH($A9,Stats!$L$3:$L$22,0)))</f>
        <v>19</v>
      </c>
      <c r="D9" s="38">
        <f t="array" ref="D9">IF($B9="","",INDEX(Stats!$C$3:$C$22,MATCH($A9,Stats!$L$3:$L$22,0)))</f>
        <v>10</v>
      </c>
      <c r="E9" s="38">
        <f t="array" ref="E9">IF($B9="","",INDEX(Stats!$D$3:$D$22,MATCH($A9,Stats!$L$3:$L$22,0)))</f>
        <v>3</v>
      </c>
      <c r="F9" s="38">
        <f t="array" ref="F9">IF($B9="","",INDEX(Stats!$E$3:$E$22,MATCH($A9,Stats!$L$3:$L$22,0)))</f>
        <v>6</v>
      </c>
      <c r="G9" s="38">
        <f t="array" ref="G9">IF($B9="","",INDEX(Stats!$F$3:$F$22,MATCH($A9,Stats!$L$3:$L$22,0)))</f>
        <v>81</v>
      </c>
      <c r="H9" s="38">
        <f t="array" ref="H9">IF($B9="","",INDEX(Stats!$G$3:$G$22,MATCH($A9,Stats!$L$3:$L$22,0)))</f>
        <v>74</v>
      </c>
      <c r="I9" s="38">
        <f t="array" ref="I9">IF($B9="","",INDEX(Stats!$H$3:$H$22,MATCH($A9,Stats!$L$3:$L$22,0)))</f>
        <v>7</v>
      </c>
      <c r="J9" s="38">
        <f t="array" ref="J9">IF($B9="","",INDEX(Stats!$I$3:$I$22,MATCH($A9,Stats!$L$3:$L$22,0)))</f>
        <v>33</v>
      </c>
      <c r="K9" s="38">
        <f t="array" ref="K9">IF($B9="","",INDEX(Stats!$J$3:$J$22,MATCH($A9,Stats!$L$3:$L$22,0)))</f>
        <v>0</v>
      </c>
      <c r="L9" s="64">
        <f t="array" ref="L9">IF($B9="","",INDEX(Stats!$K$3:$K$22,MATCH($A9,Stats!$L$3:$L$22,0)))</f>
        <v>33</v>
      </c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>
      <c r="A10" s="38">
        <v>8.0</v>
      </c>
      <c r="B10" s="64" t="str">
        <f t="array" ref="B10">IFERROR(INDEX(Stats!$A$3:$A$22,MATCH($A10,Stats!$L$3:$L$22,0)),"")</f>
        <v>WOLEVATION</v>
      </c>
      <c r="C10" s="38">
        <f t="array" ref="C10">IF($B10="","",INDEX(Stats!$B$3:$B$22,MATCH($A10,Stats!$L$3:$L$22,0)))</f>
        <v>19</v>
      </c>
      <c r="D10" s="38">
        <f t="array" ref="D10">IF($B10="","",INDEX(Stats!$C$3:$C$22,MATCH($A10,Stats!$L$3:$L$22,0)))</f>
        <v>10</v>
      </c>
      <c r="E10" s="38">
        <f t="array" ref="E10">IF($B10="","",INDEX(Stats!$D$3:$D$22,MATCH($A10,Stats!$L$3:$L$22,0)))</f>
        <v>3</v>
      </c>
      <c r="F10" s="38">
        <f t="array" ref="F10">IF($B10="","",INDEX(Stats!$E$3:$E$22,MATCH($A10,Stats!$L$3:$L$22,0)))</f>
        <v>6</v>
      </c>
      <c r="G10" s="38">
        <f t="array" ref="G10">IF($B10="","",INDEX(Stats!$F$3:$F$22,MATCH($A10,Stats!$L$3:$L$22,0)))</f>
        <v>82</v>
      </c>
      <c r="H10" s="38">
        <f t="array" ref="H10">IF($B10="","",INDEX(Stats!$G$3:$G$22,MATCH($A10,Stats!$L$3:$L$22,0)))</f>
        <v>76</v>
      </c>
      <c r="I10" s="38">
        <f t="array" ref="I10">IF($B10="","",INDEX(Stats!$H$3:$H$22,MATCH($A10,Stats!$L$3:$L$22,0)))</f>
        <v>6</v>
      </c>
      <c r="J10" s="38">
        <f t="array" ref="J10">IF($B10="","",INDEX(Stats!$I$3:$I$22,MATCH($A10,Stats!$L$3:$L$22,0)))</f>
        <v>33</v>
      </c>
      <c r="K10" s="38">
        <f t="array" ref="K10">IF($B10="","",INDEX(Stats!$J$3:$J$22,MATCH($A10,Stats!$L$3:$L$22,0)))</f>
        <v>0</v>
      </c>
      <c r="L10" s="64">
        <f t="array" ref="L10">IF($B10="","",INDEX(Stats!$K$3:$K$22,MATCH($A10,Stats!$L$3:$L$22,0)))</f>
        <v>33</v>
      </c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>
      <c r="A11" s="38">
        <v>9.0</v>
      </c>
      <c r="B11" s="64" t="str">
        <f t="array" ref="B11">IFERROR(INDEX(Stats!$A$3:$A$22,MATCH($A11,Stats!$L$3:$L$22,0)),"")</f>
        <v>DRACARYS</v>
      </c>
      <c r="C11" s="38">
        <f t="array" ref="C11">IF($B11="","",INDEX(Stats!$B$3:$B$22,MATCH($A11,Stats!$L$3:$L$22,0)))</f>
        <v>19</v>
      </c>
      <c r="D11" s="38">
        <f t="array" ref="D11">IF($B11="","",INDEX(Stats!$C$3:$C$22,MATCH($A11,Stats!$L$3:$L$22,0)))</f>
        <v>10</v>
      </c>
      <c r="E11" s="38">
        <f t="array" ref="E11">IF($B11="","",INDEX(Stats!$D$3:$D$22,MATCH($A11,Stats!$L$3:$L$22,0)))</f>
        <v>3</v>
      </c>
      <c r="F11" s="38">
        <f t="array" ref="F11">IF($B11="","",INDEX(Stats!$E$3:$E$22,MATCH($A11,Stats!$L$3:$L$22,0)))</f>
        <v>6</v>
      </c>
      <c r="G11" s="38">
        <f t="array" ref="G11">IF($B11="","",INDEX(Stats!$F$3:$F$22,MATCH($A11,Stats!$L$3:$L$22,0)))</f>
        <v>79</v>
      </c>
      <c r="H11" s="38">
        <f t="array" ref="H11">IF($B11="","",INDEX(Stats!$G$3:$G$22,MATCH($A11,Stats!$L$3:$L$22,0)))</f>
        <v>73</v>
      </c>
      <c r="I11" s="38">
        <f t="array" ref="I11">IF($B11="","",INDEX(Stats!$H$3:$H$22,MATCH($A11,Stats!$L$3:$L$22,0)))</f>
        <v>6</v>
      </c>
      <c r="J11" s="38">
        <f t="array" ref="J11">IF($B11="","",INDEX(Stats!$I$3:$I$22,MATCH($A11,Stats!$L$3:$L$22,0)))</f>
        <v>33</v>
      </c>
      <c r="K11" s="38">
        <f t="array" ref="K11">IF($B11="","",INDEX(Stats!$J$3:$J$22,MATCH($A11,Stats!$L$3:$L$22,0)))</f>
        <v>0</v>
      </c>
      <c r="L11" s="64">
        <f t="array" ref="L11">IF($B11="","",INDEX(Stats!$K$3:$K$22,MATCH($A11,Stats!$L$3:$L$22,0)))</f>
        <v>33</v>
      </c>
      <c r="M11" s="63"/>
      <c r="N11" s="65"/>
      <c r="O11" s="65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>
      <c r="A12" s="38">
        <v>10.0</v>
      </c>
      <c r="B12" s="64" t="str">
        <f t="array" ref="B12">IFERROR(INDEX(Stats!$A$3:$A$22,MATCH($A12,Stats!$L$3:$L$22,0)),"")</f>
        <v>RHYMEZ</v>
      </c>
      <c r="C12" s="38">
        <f t="array" ref="C12">IF($B12="","",INDEX(Stats!$B$3:$B$22,MATCH($A12,Stats!$L$3:$L$22,0)))</f>
        <v>19</v>
      </c>
      <c r="D12" s="38">
        <f t="array" ref="D12">IF($B12="","",INDEX(Stats!$C$3:$C$22,MATCH($A12,Stats!$L$3:$L$22,0)))</f>
        <v>10</v>
      </c>
      <c r="E12" s="38">
        <f t="array" ref="E12">IF($B12="","",INDEX(Stats!$D$3:$D$22,MATCH($A12,Stats!$L$3:$L$22,0)))</f>
        <v>2</v>
      </c>
      <c r="F12" s="38">
        <f t="array" ref="F12">IF($B12="","",INDEX(Stats!$E$3:$E$22,MATCH($A12,Stats!$L$3:$L$22,0)))</f>
        <v>7</v>
      </c>
      <c r="G12" s="38">
        <f t="array" ref="G12">IF($B12="","",INDEX(Stats!$F$3:$F$22,MATCH($A12,Stats!$L$3:$L$22,0)))</f>
        <v>89</v>
      </c>
      <c r="H12" s="38">
        <f t="array" ref="H12">IF($B12="","",INDEX(Stats!$G$3:$G$22,MATCH($A12,Stats!$L$3:$L$22,0)))</f>
        <v>73</v>
      </c>
      <c r="I12" s="38">
        <f t="array" ref="I12">IF($B12="","",INDEX(Stats!$H$3:$H$22,MATCH($A12,Stats!$L$3:$L$22,0)))</f>
        <v>16</v>
      </c>
      <c r="J12" s="38">
        <f t="array" ref="J12">IF($B12="","",INDEX(Stats!$I$3:$I$22,MATCH($A12,Stats!$L$3:$L$22,0)))</f>
        <v>32</v>
      </c>
      <c r="K12" s="38">
        <f t="array" ref="K12">IF($B12="","",INDEX(Stats!$J$3:$J$22,MATCH($A12,Stats!$L$3:$L$22,0)))</f>
        <v>0</v>
      </c>
      <c r="L12" s="64">
        <f t="array" ref="L12">IF($B12="","",INDEX(Stats!$K$3:$K$22,MATCH($A12,Stats!$L$3:$L$22,0)))</f>
        <v>32</v>
      </c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>
      <c r="A13" s="38">
        <v>11.0</v>
      </c>
      <c r="B13" s="64" t="str">
        <f t="array" ref="B13">IFERROR(INDEX(Stats!$A$3:$A$22,MATCH($A13,Stats!$L$3:$L$22,0)),"")</f>
        <v>YEMOLEE</v>
      </c>
      <c r="C13" s="38">
        <f t="array" ref="C13">IF($B13="","",INDEX(Stats!$B$3:$B$22,MATCH($A13,Stats!$L$3:$L$22,0)))</f>
        <v>19</v>
      </c>
      <c r="D13" s="38">
        <f t="array" ref="D13">IF($B13="","",INDEX(Stats!$C$3:$C$22,MATCH($A13,Stats!$L$3:$L$22,0)))</f>
        <v>8</v>
      </c>
      <c r="E13" s="38">
        <f t="array" ref="E13">IF($B13="","",INDEX(Stats!$D$3:$D$22,MATCH($A13,Stats!$L$3:$L$22,0)))</f>
        <v>7</v>
      </c>
      <c r="F13" s="38">
        <f t="array" ref="F13">IF($B13="","",INDEX(Stats!$E$3:$E$22,MATCH($A13,Stats!$L$3:$L$22,0)))</f>
        <v>4</v>
      </c>
      <c r="G13" s="38">
        <f t="array" ref="G13">IF($B13="","",INDEX(Stats!$F$3:$F$22,MATCH($A13,Stats!$L$3:$L$22,0)))</f>
        <v>97</v>
      </c>
      <c r="H13" s="38">
        <f t="array" ref="H13">IF($B13="","",INDEX(Stats!$G$3:$G$22,MATCH($A13,Stats!$L$3:$L$22,0)))</f>
        <v>76</v>
      </c>
      <c r="I13" s="38">
        <f t="array" ref="I13">IF($B13="","",INDEX(Stats!$H$3:$H$22,MATCH($A13,Stats!$L$3:$L$22,0)))</f>
        <v>21</v>
      </c>
      <c r="J13" s="38">
        <f t="array" ref="J13">IF($B13="","",INDEX(Stats!$I$3:$I$22,MATCH($A13,Stats!$L$3:$L$22,0)))</f>
        <v>31</v>
      </c>
      <c r="K13" s="38">
        <f t="array" ref="K13">IF($B13="","",INDEX(Stats!$J$3:$J$22,MATCH($A13,Stats!$L$3:$L$22,0)))</f>
        <v>0</v>
      </c>
      <c r="L13" s="64">
        <f t="array" ref="L13">IF($B13="","",INDEX(Stats!$K$3:$K$22,MATCH($A13,Stats!$L$3:$L$22,0)))</f>
        <v>31</v>
      </c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>
      <c r="A14" s="38">
        <v>12.0</v>
      </c>
      <c r="B14" s="64" t="str">
        <f t="array" ref="B14">IFERROR(INDEX(Stats!$A$3:$A$22,MATCH($A14,Stats!$L$3:$L$22,0)),"")</f>
        <v>GAMEWITHJOSH</v>
      </c>
      <c r="C14" s="38">
        <f t="array" ref="C14">IF($B14="","",INDEX(Stats!$B$3:$B$22,MATCH($A14,Stats!$L$3:$L$22,0)))</f>
        <v>19</v>
      </c>
      <c r="D14" s="38">
        <f t="array" ref="D14">IF($B14="","",INDEX(Stats!$C$3:$C$22,MATCH($A14,Stats!$L$3:$L$22,0)))</f>
        <v>8</v>
      </c>
      <c r="E14" s="38">
        <f t="array" ref="E14">IF($B14="","",INDEX(Stats!$D$3:$D$22,MATCH($A14,Stats!$L$3:$L$22,0)))</f>
        <v>3</v>
      </c>
      <c r="F14" s="38">
        <f t="array" ref="F14">IF($B14="","",INDEX(Stats!$E$3:$E$22,MATCH($A14,Stats!$L$3:$L$22,0)))</f>
        <v>8</v>
      </c>
      <c r="G14" s="38">
        <f t="array" ref="G14">IF($B14="","",INDEX(Stats!$F$3:$F$22,MATCH($A14,Stats!$L$3:$L$22,0)))</f>
        <v>96</v>
      </c>
      <c r="H14" s="38">
        <f t="array" ref="H14">IF($B14="","",INDEX(Stats!$G$3:$G$22,MATCH($A14,Stats!$L$3:$L$22,0)))</f>
        <v>100</v>
      </c>
      <c r="I14" s="38">
        <f t="array" ref="I14">IF($B14="","",INDEX(Stats!$H$3:$H$22,MATCH($A14,Stats!$L$3:$L$22,0)))</f>
        <v>-4</v>
      </c>
      <c r="J14" s="38">
        <f t="array" ref="J14">IF($B14="","",INDEX(Stats!$I$3:$I$22,MATCH($A14,Stats!$L$3:$L$22,0)))</f>
        <v>27</v>
      </c>
      <c r="K14" s="38">
        <f t="array" ref="K14">IF($B14="","",INDEX(Stats!$J$3:$J$22,MATCH($A14,Stats!$L$3:$L$22,0)))</f>
        <v>0</v>
      </c>
      <c r="L14" s="64">
        <f t="array" ref="L14">IF($B14="","",INDEX(Stats!$K$3:$K$22,MATCH($A14,Stats!$L$3:$L$22,0)))</f>
        <v>27</v>
      </c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>
      <c r="A15" s="38">
        <v>13.0</v>
      </c>
      <c r="B15" s="64" t="str">
        <f t="array" ref="B15">IFERROR(INDEX(Stats!$A$3:$A$22,MATCH($A15,Stats!$L$3:$L$22,0)),"")</f>
        <v>SON OF GOD</v>
      </c>
      <c r="C15" s="38">
        <f t="array" ref="C15">IF($B15="","",INDEX(Stats!$B$3:$B$22,MATCH($A15,Stats!$L$3:$L$22,0)))</f>
        <v>19</v>
      </c>
      <c r="D15" s="38">
        <f t="array" ref="D15">IF($B15="","",INDEX(Stats!$C$3:$C$22,MATCH($A15,Stats!$L$3:$L$22,0)))</f>
        <v>8</v>
      </c>
      <c r="E15" s="38">
        <f t="array" ref="E15">IF($B15="","",INDEX(Stats!$D$3:$D$22,MATCH($A15,Stats!$L$3:$L$22,0)))</f>
        <v>2</v>
      </c>
      <c r="F15" s="38">
        <f t="array" ref="F15">IF($B15="","",INDEX(Stats!$E$3:$E$22,MATCH($A15,Stats!$L$3:$L$22,0)))</f>
        <v>9</v>
      </c>
      <c r="G15" s="38">
        <f t="array" ref="G15">IF($B15="","",INDEX(Stats!$F$3:$F$22,MATCH($A15,Stats!$L$3:$L$22,0)))</f>
        <v>78</v>
      </c>
      <c r="H15" s="38">
        <f t="array" ref="H15">IF($B15="","",INDEX(Stats!$G$3:$G$22,MATCH($A15,Stats!$L$3:$L$22,0)))</f>
        <v>80</v>
      </c>
      <c r="I15" s="38">
        <f t="array" ref="I15">IF($B15="","",INDEX(Stats!$H$3:$H$22,MATCH($A15,Stats!$L$3:$L$22,0)))</f>
        <v>-2</v>
      </c>
      <c r="J15" s="38">
        <f t="array" ref="J15">IF($B15="","",INDEX(Stats!$I$3:$I$22,MATCH($A15,Stats!$L$3:$L$22,0)))</f>
        <v>26</v>
      </c>
      <c r="K15" s="38">
        <f t="array" ref="K15">IF($B15="","",INDEX(Stats!$J$3:$J$22,MATCH($A15,Stats!$L$3:$L$22,0)))</f>
        <v>0</v>
      </c>
      <c r="L15" s="64">
        <f t="array" ref="L15">IF($B15="","",INDEX(Stats!$K$3:$K$22,MATCH($A15,Stats!$L$3:$L$22,0)))</f>
        <v>26</v>
      </c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>
      <c r="A16" s="38">
        <v>14.0</v>
      </c>
      <c r="B16" s="64" t="str">
        <f t="array" ref="B16">IFERROR(INDEX(Stats!$A$3:$A$22,MATCH($A16,Stats!$L$3:$L$22,0)),"")</f>
        <v>KHALEEDOY</v>
      </c>
      <c r="C16" s="38">
        <f t="array" ref="C16">IF($B16="","",INDEX(Stats!$B$3:$B$22,MATCH($A16,Stats!$L$3:$L$22,0)))</f>
        <v>18</v>
      </c>
      <c r="D16" s="38">
        <f t="array" ref="D16">IF($B16="","",INDEX(Stats!$C$3:$C$22,MATCH($A16,Stats!$L$3:$L$22,0)))</f>
        <v>6</v>
      </c>
      <c r="E16" s="38">
        <f t="array" ref="E16">IF($B16="","",INDEX(Stats!$D$3:$D$22,MATCH($A16,Stats!$L$3:$L$22,0)))</f>
        <v>4</v>
      </c>
      <c r="F16" s="38">
        <f t="array" ref="F16">IF($B16="","",INDEX(Stats!$E$3:$E$22,MATCH($A16,Stats!$L$3:$L$22,0)))</f>
        <v>8</v>
      </c>
      <c r="G16" s="38">
        <f t="array" ref="G16">IF($B16="","",INDEX(Stats!$F$3:$F$22,MATCH($A16,Stats!$L$3:$L$22,0)))</f>
        <v>84</v>
      </c>
      <c r="H16" s="38">
        <f t="array" ref="H16">IF($B16="","",INDEX(Stats!$G$3:$G$22,MATCH($A16,Stats!$L$3:$L$22,0)))</f>
        <v>78</v>
      </c>
      <c r="I16" s="38">
        <f t="array" ref="I16">IF($B16="","",INDEX(Stats!$H$3:$H$22,MATCH($A16,Stats!$L$3:$L$22,0)))</f>
        <v>6</v>
      </c>
      <c r="J16" s="38">
        <f t="array" ref="J16">IF($B16="","",INDEX(Stats!$I$3:$I$22,MATCH($A16,Stats!$L$3:$L$22,0)))</f>
        <v>22</v>
      </c>
      <c r="K16" s="38">
        <f t="array" ref="K16">IF($B16="","",INDEX(Stats!$J$3:$J$22,MATCH($A16,Stats!$L$3:$L$22,0)))</f>
        <v>0</v>
      </c>
      <c r="L16" s="64">
        <f t="array" ref="L16">IF($B16="","",INDEX(Stats!$K$3:$K$22,MATCH($A16,Stats!$L$3:$L$22,0)))</f>
        <v>22</v>
      </c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>
      <c r="A17" s="38">
        <v>15.0</v>
      </c>
      <c r="B17" s="64" t="str">
        <f t="array" ref="B17">IFERROR(INDEX(Stats!$A$3:$A$22,MATCH($A17,Stats!$L$3:$L$22,0)),"")</f>
        <v>BALO K</v>
      </c>
      <c r="C17" s="38">
        <f t="array" ref="C17">IF($B17="","",INDEX(Stats!$B$3:$B$22,MATCH($A17,Stats!$L$3:$L$22,0)))</f>
        <v>19</v>
      </c>
      <c r="D17" s="38">
        <f t="array" ref="D17">IF($B17="","",INDEX(Stats!$C$3:$C$22,MATCH($A17,Stats!$L$3:$L$22,0)))</f>
        <v>6</v>
      </c>
      <c r="E17" s="38">
        <f t="array" ref="E17">IF($B17="","",INDEX(Stats!$D$3:$D$22,MATCH($A17,Stats!$L$3:$L$22,0)))</f>
        <v>0</v>
      </c>
      <c r="F17" s="38">
        <f t="array" ref="F17">IF($B17="","",INDEX(Stats!$E$3:$E$22,MATCH($A17,Stats!$L$3:$L$22,0)))</f>
        <v>13</v>
      </c>
      <c r="G17" s="38">
        <f t="array" ref="G17">IF($B17="","",INDEX(Stats!$F$3:$F$22,MATCH($A17,Stats!$L$3:$L$22,0)))</f>
        <v>61</v>
      </c>
      <c r="H17" s="38">
        <f t="array" ref="H17">IF($B17="","",INDEX(Stats!$G$3:$G$22,MATCH($A17,Stats!$L$3:$L$22,0)))</f>
        <v>106</v>
      </c>
      <c r="I17" s="38">
        <f t="array" ref="I17">IF($B17="","",INDEX(Stats!$H$3:$H$22,MATCH($A17,Stats!$L$3:$L$22,0)))</f>
        <v>-45</v>
      </c>
      <c r="J17" s="38">
        <f t="array" ref="J17">IF($B17="","",INDEX(Stats!$I$3:$I$22,MATCH($A17,Stats!$L$3:$L$22,0)))</f>
        <v>18</v>
      </c>
      <c r="K17" s="38">
        <f t="array" ref="K17">IF($B17="","",INDEX(Stats!$J$3:$J$22,MATCH($A17,Stats!$L$3:$L$22,0)))</f>
        <v>0</v>
      </c>
      <c r="L17" s="64">
        <f t="array" ref="L17">IF($B17="","",INDEX(Stats!$K$3:$K$22,MATCH($A17,Stats!$L$3:$L$22,0)))</f>
        <v>18</v>
      </c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>
      <c r="A18" s="38">
        <v>16.0</v>
      </c>
      <c r="B18" s="64" t="str">
        <f t="array" ref="B18">IFERROR(INDEX(Stats!$A$3:$A$22,MATCH($A18,Stats!$L$3:$L$22,0)),"")</f>
        <v>BRIGHT</v>
      </c>
      <c r="C18" s="38">
        <f t="array" ref="C18">IF($B18="","",INDEX(Stats!$B$3:$B$22,MATCH($A18,Stats!$L$3:$L$22,0)))</f>
        <v>19</v>
      </c>
      <c r="D18" s="38">
        <f t="array" ref="D18">IF($B18="","",INDEX(Stats!$C$3:$C$22,MATCH($A18,Stats!$L$3:$L$22,0)))</f>
        <v>4</v>
      </c>
      <c r="E18" s="38">
        <f t="array" ref="E18">IF($B18="","",INDEX(Stats!$D$3:$D$22,MATCH($A18,Stats!$L$3:$L$22,0)))</f>
        <v>4</v>
      </c>
      <c r="F18" s="38">
        <f t="array" ref="F18">IF($B18="","",INDEX(Stats!$E$3:$E$22,MATCH($A18,Stats!$L$3:$L$22,0)))</f>
        <v>11</v>
      </c>
      <c r="G18" s="38">
        <f t="array" ref="G18">IF($B18="","",INDEX(Stats!$F$3:$F$22,MATCH($A18,Stats!$L$3:$L$22,0)))</f>
        <v>74</v>
      </c>
      <c r="H18" s="38">
        <f t="array" ref="H18">IF($B18="","",INDEX(Stats!$G$3:$G$22,MATCH($A18,Stats!$L$3:$L$22,0)))</f>
        <v>100</v>
      </c>
      <c r="I18" s="38">
        <f t="array" ref="I18">IF($B18="","",INDEX(Stats!$H$3:$H$22,MATCH($A18,Stats!$L$3:$L$22,0)))</f>
        <v>-26</v>
      </c>
      <c r="J18" s="38">
        <f t="array" ref="J18">IF($B18="","",INDEX(Stats!$I$3:$I$22,MATCH($A18,Stats!$L$3:$L$22,0)))</f>
        <v>16</v>
      </c>
      <c r="K18" s="38">
        <f t="array" ref="K18">IF($B18="","",INDEX(Stats!$J$3:$J$22,MATCH($A18,Stats!$L$3:$L$22,0)))</f>
        <v>0</v>
      </c>
      <c r="L18" s="64">
        <f t="array" ref="L18">IF($B18="","",INDEX(Stats!$K$3:$K$22,MATCH($A18,Stats!$L$3:$L$22,0)))</f>
        <v>16</v>
      </c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>
      <c r="A19" s="38">
        <v>17.0</v>
      </c>
      <c r="B19" s="64" t="str">
        <f t="array" ref="B19">IFERROR(INDEX(Stats!$A$3:$A$22,MATCH($A19,Stats!$L$3:$L$22,0)),"")</f>
        <v>BAJI SNR</v>
      </c>
      <c r="C19" s="38">
        <f t="array" ref="C19">IF($B19="","",INDEX(Stats!$B$3:$B$22,MATCH($A19,Stats!$L$3:$L$22,0)))</f>
        <v>19</v>
      </c>
      <c r="D19" s="38">
        <f t="array" ref="D19">IF($B19="","",INDEX(Stats!$C$3:$C$22,MATCH($A19,Stats!$L$3:$L$22,0)))</f>
        <v>4</v>
      </c>
      <c r="E19" s="38">
        <f t="array" ref="E19">IF($B19="","",INDEX(Stats!$D$3:$D$22,MATCH($A19,Stats!$L$3:$L$22,0)))</f>
        <v>0</v>
      </c>
      <c r="F19" s="38">
        <f t="array" ref="F19">IF($B19="","",INDEX(Stats!$E$3:$E$22,MATCH($A19,Stats!$L$3:$L$22,0)))</f>
        <v>15</v>
      </c>
      <c r="G19" s="38">
        <f t="array" ref="G19">IF($B19="","",INDEX(Stats!$F$3:$F$22,MATCH($A19,Stats!$L$3:$L$22,0)))</f>
        <v>42</v>
      </c>
      <c r="H19" s="38">
        <f t="array" ref="H19">IF($B19="","",INDEX(Stats!$G$3:$G$22,MATCH($A19,Stats!$L$3:$L$22,0)))</f>
        <v>70</v>
      </c>
      <c r="I19" s="38">
        <f t="array" ref="I19">IF($B19="","",INDEX(Stats!$H$3:$H$22,MATCH($A19,Stats!$L$3:$L$22,0)))</f>
        <v>-28</v>
      </c>
      <c r="J19" s="38">
        <f t="array" ref="J19">IF($B19="","",INDEX(Stats!$I$3:$I$22,MATCH($A19,Stats!$L$3:$L$22,0)))</f>
        <v>12</v>
      </c>
      <c r="K19" s="38">
        <f t="array" ref="K19">IF($B19="","",INDEX(Stats!$J$3:$J$22,MATCH($A19,Stats!$L$3:$L$22,0)))</f>
        <v>0</v>
      </c>
      <c r="L19" s="64">
        <f t="array" ref="L19">IF($B19="","",INDEX(Stats!$K$3:$K$22,MATCH($A19,Stats!$L$3:$L$22,0)))</f>
        <v>12</v>
      </c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>
      <c r="A20" s="38">
        <v>18.0</v>
      </c>
      <c r="B20" s="64" t="str">
        <f t="array" ref="B20">IFERROR(INDEX(Stats!$A$3:$A$22,MATCH($A20,Stats!$L$3:$L$22,0)),"")</f>
        <v>SIMPLYY UZO</v>
      </c>
      <c r="C20" s="38">
        <f t="array" ref="C20">IF($B20="","",INDEX(Stats!$B$3:$B$22,MATCH($A20,Stats!$L$3:$L$22,0)))</f>
        <v>18</v>
      </c>
      <c r="D20" s="38">
        <f t="array" ref="D20">IF($B20="","",INDEX(Stats!$C$3:$C$22,MATCH($A20,Stats!$L$3:$L$22,0)))</f>
        <v>3</v>
      </c>
      <c r="E20" s="38">
        <f t="array" ref="E20">IF($B20="","",INDEX(Stats!$D$3:$D$22,MATCH($A20,Stats!$L$3:$L$22,0)))</f>
        <v>1</v>
      </c>
      <c r="F20" s="38">
        <f t="array" ref="F20">IF($B20="","",INDEX(Stats!$E$3:$E$22,MATCH($A20,Stats!$L$3:$L$22,0)))</f>
        <v>14</v>
      </c>
      <c r="G20" s="38">
        <f t="array" ref="G20">IF($B20="","",INDEX(Stats!$F$3:$F$22,MATCH($A20,Stats!$L$3:$L$22,0)))</f>
        <v>65</v>
      </c>
      <c r="H20" s="38">
        <f t="array" ref="H20">IF($B20="","",INDEX(Stats!$G$3:$G$22,MATCH($A20,Stats!$L$3:$L$22,0)))</f>
        <v>110</v>
      </c>
      <c r="I20" s="38">
        <f t="array" ref="I20">IF($B20="","",INDEX(Stats!$H$3:$H$22,MATCH($A20,Stats!$L$3:$L$22,0)))</f>
        <v>-45</v>
      </c>
      <c r="J20" s="38">
        <f t="array" ref="J20">IF($B20="","",INDEX(Stats!$I$3:$I$22,MATCH($A20,Stats!$L$3:$L$22,0)))</f>
        <v>10</v>
      </c>
      <c r="K20" s="38">
        <f t="array" ref="K20">IF($B20="","",INDEX(Stats!$J$3:$J$22,MATCH($A20,Stats!$L$3:$L$22,0)))</f>
        <v>0</v>
      </c>
      <c r="L20" s="64">
        <f t="array" ref="L20">IF($B20="","",INDEX(Stats!$K$3:$K$22,MATCH($A20,Stats!$L$3:$L$22,0)))</f>
        <v>10</v>
      </c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ht="15.75" customHeight="1">
      <c r="A21" s="38">
        <v>19.0</v>
      </c>
      <c r="B21" s="64" t="str">
        <f t="array" ref="B21">IFERROR(INDEX(Stats!$A$3:$A$22,MATCH($A21,Stats!$L$3:$L$22,0)),"")</f>
        <v>FLICK</v>
      </c>
      <c r="C21" s="38">
        <f t="array" ref="C21">IF($B21="","",INDEX(Stats!$B$3:$B$22,MATCH($A21,Stats!$L$3:$L$22,0)))</f>
        <v>19</v>
      </c>
      <c r="D21" s="38">
        <f t="array" ref="D21">IF($B21="","",INDEX(Stats!$C$3:$C$22,MATCH($A21,Stats!$L$3:$L$22,0)))</f>
        <v>2</v>
      </c>
      <c r="E21" s="38">
        <f t="array" ref="E21">IF($B21="","",INDEX(Stats!$D$3:$D$22,MATCH($A21,Stats!$L$3:$L$22,0)))</f>
        <v>2</v>
      </c>
      <c r="F21" s="38">
        <f t="array" ref="F21">IF($B21="","",INDEX(Stats!$E$3:$E$22,MATCH($A21,Stats!$L$3:$L$22,0)))</f>
        <v>15</v>
      </c>
      <c r="G21" s="38">
        <f t="array" ref="G21">IF($B21="","",INDEX(Stats!$F$3:$F$22,MATCH($A21,Stats!$L$3:$L$22,0)))</f>
        <v>39</v>
      </c>
      <c r="H21" s="38">
        <f t="array" ref="H21">IF($B21="","",INDEX(Stats!$G$3:$G$22,MATCH($A21,Stats!$L$3:$L$22,0)))</f>
        <v>111</v>
      </c>
      <c r="I21" s="38">
        <f t="array" ref="I21">IF($B21="","",INDEX(Stats!$H$3:$H$22,MATCH($A21,Stats!$L$3:$L$22,0)))</f>
        <v>-72</v>
      </c>
      <c r="J21" s="38">
        <f t="array" ref="J21">IF($B21="","",INDEX(Stats!$I$3:$I$22,MATCH($A21,Stats!$L$3:$L$22,0)))</f>
        <v>8</v>
      </c>
      <c r="K21" s="38">
        <f t="array" ref="K21">IF($B21="","",INDEX(Stats!$J$3:$J$22,MATCH($A21,Stats!$L$3:$L$22,0)))</f>
        <v>0</v>
      </c>
      <c r="L21" s="64">
        <f t="array" ref="L21">IF($B21="","",INDEX(Stats!$K$3:$K$22,MATCH($A21,Stats!$L$3:$L$22,0)))</f>
        <v>8</v>
      </c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ht="15.75" customHeight="1">
      <c r="A22" s="38">
        <v>20.0</v>
      </c>
      <c r="B22" s="64" t="str">
        <f t="array" ref="B22">IFERROR(INDEX(Stats!$A$3:$A$22,MATCH($A22,Stats!$L$3:$L$22,0)),"")</f>
        <v>BLAISE99</v>
      </c>
      <c r="C22" s="38">
        <f t="array" ref="C22">IF($B22="","",INDEX(Stats!$B$3:$B$22,MATCH($A22,Stats!$L$3:$L$22,0)))</f>
        <v>17</v>
      </c>
      <c r="D22" s="38">
        <f t="array" ref="D22">IF($B22="","",INDEX(Stats!$C$3:$C$22,MATCH($A22,Stats!$L$3:$L$22,0)))</f>
        <v>2</v>
      </c>
      <c r="E22" s="38">
        <f t="array" ref="E22">IF($B22="","",INDEX(Stats!$D$3:$D$22,MATCH($A22,Stats!$L$3:$L$22,0)))</f>
        <v>0</v>
      </c>
      <c r="F22" s="38">
        <f t="array" ref="F22">IF($B22="","",INDEX(Stats!$E$3:$E$22,MATCH($A22,Stats!$L$3:$L$22,0)))</f>
        <v>15</v>
      </c>
      <c r="G22" s="38">
        <f t="array" ref="G22">IF($B22="","",INDEX(Stats!$F$3:$F$22,MATCH($A22,Stats!$L$3:$L$22,0)))</f>
        <v>51</v>
      </c>
      <c r="H22" s="38">
        <f t="array" ref="H22">IF($B22="","",INDEX(Stats!$G$3:$G$22,MATCH($A22,Stats!$L$3:$L$22,0)))</f>
        <v>83</v>
      </c>
      <c r="I22" s="38">
        <f t="array" ref="I22">IF($B22="","",INDEX(Stats!$H$3:$H$22,MATCH($A22,Stats!$L$3:$L$22,0)))</f>
        <v>-32</v>
      </c>
      <c r="J22" s="38">
        <f t="array" ref="J22">IF($B22="","",INDEX(Stats!$I$3:$I$22,MATCH($A22,Stats!$L$3:$L$22,0)))</f>
        <v>6</v>
      </c>
      <c r="K22" s="38">
        <f t="array" ref="K22">IF($B22="","",INDEX(Stats!$J$3:$J$22,MATCH($A22,Stats!$L$3:$L$22,0)))</f>
        <v>0</v>
      </c>
      <c r="L22" s="64">
        <f t="array" ref="L22">IF($B22="","",INDEX(Stats!$K$3:$K$22,MATCH($A22,Stats!$L$3:$L$22,0)))</f>
        <v>6</v>
      </c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ht="15.75" customHeight="1">
      <c r="A23" s="63"/>
      <c r="B23" s="66"/>
      <c r="C23" s="63"/>
      <c r="D23" s="63"/>
      <c r="E23" s="63"/>
      <c r="F23" s="63"/>
      <c r="G23" s="63"/>
      <c r="H23" s="63"/>
      <c r="I23" s="63"/>
      <c r="J23" s="63"/>
      <c r="K23" s="63"/>
      <c r="L23" s="66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ht="15.75" customHeight="1">
      <c r="A24" s="63"/>
      <c r="B24" s="67">
        <v>2.0</v>
      </c>
      <c r="C24" s="65">
        <v>3.0</v>
      </c>
      <c r="D24" s="65">
        <v>4.0</v>
      </c>
      <c r="E24" s="65">
        <v>5.0</v>
      </c>
      <c r="F24" s="65">
        <v>6.0</v>
      </c>
      <c r="G24" s="65">
        <v>7.0</v>
      </c>
      <c r="H24" s="65"/>
      <c r="I24" s="65">
        <v>9.0</v>
      </c>
      <c r="J24" s="65">
        <v>10.0</v>
      </c>
      <c r="K24" s="65">
        <v>11.0</v>
      </c>
      <c r="L24" s="67">
        <v>12.0</v>
      </c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ht="15.75" customHeight="1">
      <c r="A25" s="63"/>
      <c r="B25" s="66"/>
      <c r="C25" s="63"/>
      <c r="D25" s="63"/>
      <c r="E25" s="63"/>
      <c r="F25" s="63"/>
      <c r="G25" s="63"/>
      <c r="H25" s="63"/>
      <c r="I25" s="63"/>
      <c r="J25" s="63"/>
      <c r="K25" s="63"/>
      <c r="L25" s="66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ht="15.75" customHeight="1">
      <c r="A26" s="63"/>
      <c r="B26" s="66"/>
      <c r="C26" s="63"/>
      <c r="D26" s="63"/>
      <c r="E26" s="63"/>
      <c r="F26" s="63"/>
      <c r="G26" s="63"/>
      <c r="H26" s="63"/>
      <c r="I26" s="63"/>
      <c r="J26" s="63"/>
      <c r="K26" s="63"/>
      <c r="L26" s="66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ht="15.75" customHeight="1">
      <c r="A27" s="63"/>
      <c r="B27" s="66"/>
      <c r="C27" s="63"/>
      <c r="D27" s="63"/>
      <c r="E27" s="63"/>
      <c r="F27" s="63"/>
      <c r="G27" s="63"/>
      <c r="H27" s="63"/>
      <c r="I27" s="63"/>
      <c r="J27" s="63"/>
      <c r="K27" s="63"/>
      <c r="L27" s="66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ht="15.75" customHeight="1">
      <c r="A28" s="63"/>
      <c r="B28" s="66"/>
      <c r="C28" s="63"/>
      <c r="D28" s="63"/>
      <c r="E28" s="63"/>
      <c r="F28" s="63"/>
      <c r="G28" s="63"/>
      <c r="H28" s="63"/>
      <c r="I28" s="63"/>
      <c r="J28" s="63"/>
      <c r="K28" s="63"/>
      <c r="L28" s="66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ht="15.75" customHeight="1">
      <c r="A29" s="63"/>
      <c r="B29" s="66"/>
      <c r="C29" s="63"/>
      <c r="D29" s="63"/>
      <c r="E29" s="63"/>
      <c r="F29" s="63"/>
      <c r="G29" s="63"/>
      <c r="H29" s="63"/>
      <c r="I29" s="63"/>
      <c r="J29" s="63"/>
      <c r="K29" s="63"/>
      <c r="L29" s="66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ht="15.75" customHeight="1">
      <c r="A30" s="63"/>
      <c r="B30" s="66"/>
      <c r="C30" s="63"/>
      <c r="D30" s="63"/>
      <c r="E30" s="63"/>
      <c r="F30" s="63"/>
      <c r="G30" s="63"/>
      <c r="H30" s="63"/>
      <c r="I30" s="63"/>
      <c r="J30" s="63"/>
      <c r="K30" s="63"/>
      <c r="L30" s="66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ht="15.75" customHeight="1">
      <c r="A31" s="63"/>
      <c r="B31" s="66"/>
      <c r="C31" s="63"/>
      <c r="D31" s="63"/>
      <c r="E31" s="63"/>
      <c r="F31" s="63"/>
      <c r="G31" s="63"/>
      <c r="H31" s="63"/>
      <c r="I31" s="63"/>
      <c r="J31" s="63"/>
      <c r="K31" s="63"/>
      <c r="L31" s="66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ht="15.75" customHeight="1">
      <c r="A32" s="63"/>
      <c r="B32" s="66"/>
      <c r="C32" s="63"/>
      <c r="D32" s="63"/>
      <c r="E32" s="63"/>
      <c r="F32" s="63"/>
      <c r="G32" s="63"/>
      <c r="H32" s="63"/>
      <c r="I32" s="63"/>
      <c r="J32" s="63"/>
      <c r="K32" s="63"/>
      <c r="L32" s="66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ht="15.75" customHeight="1">
      <c r="A33" s="63"/>
      <c r="B33" s="66"/>
      <c r="C33" s="63"/>
      <c r="D33" s="63"/>
      <c r="E33" s="63"/>
      <c r="F33" s="63"/>
      <c r="G33" s="63"/>
      <c r="H33" s="63"/>
      <c r="I33" s="63"/>
      <c r="J33" s="63"/>
      <c r="K33" s="63"/>
      <c r="L33" s="66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ht="15.75" customHeight="1">
      <c r="A34" s="63"/>
      <c r="B34" s="66"/>
      <c r="C34" s="63"/>
      <c r="D34" s="63"/>
      <c r="E34" s="63"/>
      <c r="F34" s="63"/>
      <c r="G34" s="63"/>
      <c r="H34" s="63"/>
      <c r="I34" s="63"/>
      <c r="J34" s="63"/>
      <c r="K34" s="63"/>
      <c r="L34" s="66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5.75" customHeight="1">
      <c r="A35" s="63"/>
      <c r="B35" s="66"/>
      <c r="C35" s="63"/>
      <c r="D35" s="63"/>
      <c r="E35" s="63"/>
      <c r="F35" s="63"/>
      <c r="G35" s="63"/>
      <c r="H35" s="63"/>
      <c r="I35" s="63"/>
      <c r="J35" s="63"/>
      <c r="K35" s="63"/>
      <c r="L35" s="66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5.75" customHeight="1">
      <c r="A36" s="63"/>
      <c r="B36" s="66"/>
      <c r="C36" s="63"/>
      <c r="D36" s="63"/>
      <c r="E36" s="63"/>
      <c r="F36" s="63"/>
      <c r="G36" s="63"/>
      <c r="H36" s="63"/>
      <c r="I36" s="63"/>
      <c r="J36" s="63"/>
      <c r="K36" s="63"/>
      <c r="L36" s="66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5.75" customHeight="1">
      <c r="A37" s="63"/>
      <c r="B37" s="66"/>
      <c r="C37" s="63"/>
      <c r="D37" s="63"/>
      <c r="E37" s="63"/>
      <c r="F37" s="63"/>
      <c r="G37" s="63"/>
      <c r="H37" s="63"/>
      <c r="I37" s="63"/>
      <c r="J37" s="63"/>
      <c r="K37" s="63"/>
      <c r="L37" s="66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ht="15.75" customHeight="1">
      <c r="A38" s="63"/>
      <c r="B38" s="66"/>
      <c r="C38" s="63"/>
      <c r="D38" s="63"/>
      <c r="E38" s="63"/>
      <c r="F38" s="63"/>
      <c r="G38" s="63"/>
      <c r="H38" s="63"/>
      <c r="I38" s="63"/>
      <c r="J38" s="63"/>
      <c r="K38" s="63"/>
      <c r="L38" s="66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5.75" customHeight="1">
      <c r="A39" s="63"/>
      <c r="B39" s="66"/>
      <c r="C39" s="63"/>
      <c r="D39" s="63"/>
      <c r="E39" s="63"/>
      <c r="F39" s="63"/>
      <c r="G39" s="63"/>
      <c r="H39" s="63"/>
      <c r="I39" s="63"/>
      <c r="J39" s="63"/>
      <c r="K39" s="63"/>
      <c r="L39" s="66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ht="15.75" customHeight="1">
      <c r="A40" s="63"/>
      <c r="B40" s="66"/>
      <c r="C40" s="63"/>
      <c r="D40" s="63"/>
      <c r="E40" s="63"/>
      <c r="F40" s="63"/>
      <c r="G40" s="63"/>
      <c r="H40" s="63"/>
      <c r="I40" s="63"/>
      <c r="J40" s="63"/>
      <c r="K40" s="63"/>
      <c r="L40" s="66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ht="15.75" customHeight="1">
      <c r="A41" s="63"/>
      <c r="B41" s="66"/>
      <c r="C41" s="63"/>
      <c r="D41" s="63"/>
      <c r="E41" s="63"/>
      <c r="F41" s="63"/>
      <c r="G41" s="63"/>
      <c r="H41" s="63"/>
      <c r="I41" s="63"/>
      <c r="J41" s="63"/>
      <c r="K41" s="63"/>
      <c r="L41" s="66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ht="15.75" customHeight="1">
      <c r="A42" s="63"/>
      <c r="B42" s="66"/>
      <c r="C42" s="63"/>
      <c r="D42" s="63"/>
      <c r="E42" s="63"/>
      <c r="F42" s="63"/>
      <c r="G42" s="63"/>
      <c r="H42" s="63"/>
      <c r="I42" s="63"/>
      <c r="J42" s="63"/>
      <c r="K42" s="63"/>
      <c r="L42" s="66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ht="15.75" customHeight="1">
      <c r="A43" s="63"/>
      <c r="B43" s="66"/>
      <c r="C43" s="63"/>
      <c r="D43" s="63"/>
      <c r="E43" s="63"/>
      <c r="F43" s="63"/>
      <c r="G43" s="63"/>
      <c r="H43" s="63"/>
      <c r="I43" s="63"/>
      <c r="J43" s="63"/>
      <c r="K43" s="63"/>
      <c r="L43" s="66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ht="15.75" customHeight="1">
      <c r="A44" s="63"/>
      <c r="B44" s="66"/>
      <c r="C44" s="63"/>
      <c r="D44" s="63"/>
      <c r="E44" s="63"/>
      <c r="F44" s="63"/>
      <c r="G44" s="63"/>
      <c r="H44" s="63"/>
      <c r="I44" s="63"/>
      <c r="J44" s="63"/>
      <c r="K44" s="63"/>
      <c r="L44" s="66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ht="15.75" customHeight="1">
      <c r="A45" s="63"/>
      <c r="B45" s="66"/>
      <c r="C45" s="63"/>
      <c r="D45" s="63"/>
      <c r="E45" s="63"/>
      <c r="F45" s="63"/>
      <c r="G45" s="63"/>
      <c r="H45" s="63"/>
      <c r="I45" s="63"/>
      <c r="J45" s="63"/>
      <c r="K45" s="63"/>
      <c r="L45" s="66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ht="15.75" customHeight="1">
      <c r="A46" s="63"/>
      <c r="B46" s="66"/>
      <c r="C46" s="63"/>
      <c r="D46" s="63"/>
      <c r="E46" s="63"/>
      <c r="F46" s="63"/>
      <c r="G46" s="63"/>
      <c r="H46" s="63"/>
      <c r="I46" s="63"/>
      <c r="J46" s="63"/>
      <c r="K46" s="63"/>
      <c r="L46" s="66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ht="15.75" customHeight="1">
      <c r="A47" s="63"/>
      <c r="B47" s="66"/>
      <c r="C47" s="63"/>
      <c r="D47" s="63"/>
      <c r="E47" s="63"/>
      <c r="F47" s="63"/>
      <c r="G47" s="63"/>
      <c r="H47" s="63"/>
      <c r="I47" s="63"/>
      <c r="J47" s="63"/>
      <c r="K47" s="63"/>
      <c r="L47" s="66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ht="15.75" customHeight="1">
      <c r="A48" s="63"/>
      <c r="B48" s="66"/>
      <c r="C48" s="63"/>
      <c r="D48" s="63"/>
      <c r="E48" s="63"/>
      <c r="F48" s="63"/>
      <c r="G48" s="63"/>
      <c r="H48" s="63"/>
      <c r="I48" s="63"/>
      <c r="J48" s="63"/>
      <c r="K48" s="63"/>
      <c r="L48" s="66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ht="15.75" customHeight="1">
      <c r="A49" s="63"/>
      <c r="B49" s="66"/>
      <c r="C49" s="63"/>
      <c r="D49" s="63"/>
      <c r="E49" s="63"/>
      <c r="F49" s="63"/>
      <c r="G49" s="63"/>
      <c r="H49" s="63"/>
      <c r="I49" s="63"/>
      <c r="J49" s="63"/>
      <c r="K49" s="63"/>
      <c r="L49" s="66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ht="15.75" customHeight="1">
      <c r="A50" s="63"/>
      <c r="B50" s="66"/>
      <c r="C50" s="63"/>
      <c r="D50" s="63"/>
      <c r="E50" s="63"/>
      <c r="F50" s="63"/>
      <c r="G50" s="63"/>
      <c r="H50" s="63"/>
      <c r="I50" s="63"/>
      <c r="J50" s="63"/>
      <c r="K50" s="63"/>
      <c r="L50" s="66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ht="15.75" customHeight="1">
      <c r="A51" s="63"/>
      <c r="B51" s="66"/>
      <c r="C51" s="63"/>
      <c r="D51" s="63"/>
      <c r="E51" s="63"/>
      <c r="F51" s="63"/>
      <c r="G51" s="63"/>
      <c r="H51" s="63"/>
      <c r="I51" s="63"/>
      <c r="J51" s="63"/>
      <c r="K51" s="63"/>
      <c r="L51" s="66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ht="15.75" customHeight="1">
      <c r="A52" s="63"/>
      <c r="B52" s="66"/>
      <c r="C52" s="63"/>
      <c r="D52" s="63"/>
      <c r="E52" s="63"/>
      <c r="F52" s="63"/>
      <c r="G52" s="63"/>
      <c r="H52" s="63"/>
      <c r="I52" s="63"/>
      <c r="J52" s="63"/>
      <c r="K52" s="63"/>
      <c r="L52" s="66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ht="15.75" customHeight="1">
      <c r="A53" s="63"/>
      <c r="B53" s="66"/>
      <c r="C53" s="63"/>
      <c r="D53" s="63"/>
      <c r="E53" s="63"/>
      <c r="F53" s="63"/>
      <c r="G53" s="63"/>
      <c r="H53" s="63"/>
      <c r="I53" s="63"/>
      <c r="J53" s="63"/>
      <c r="K53" s="63"/>
      <c r="L53" s="66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ht="15.75" customHeight="1">
      <c r="A54" s="63"/>
      <c r="B54" s="66"/>
      <c r="C54" s="63"/>
      <c r="D54" s="63"/>
      <c r="E54" s="63"/>
      <c r="F54" s="63"/>
      <c r="G54" s="63"/>
      <c r="H54" s="63"/>
      <c r="I54" s="63"/>
      <c r="J54" s="63"/>
      <c r="K54" s="63"/>
      <c r="L54" s="66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ht="15.75" customHeight="1">
      <c r="A55" s="63"/>
      <c r="B55" s="66"/>
      <c r="C55" s="63"/>
      <c r="D55" s="63"/>
      <c r="E55" s="63"/>
      <c r="F55" s="63"/>
      <c r="G55" s="63"/>
      <c r="H55" s="63"/>
      <c r="I55" s="63"/>
      <c r="J55" s="63"/>
      <c r="K55" s="63"/>
      <c r="L55" s="66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ht="15.75" customHeight="1">
      <c r="A56" s="63"/>
      <c r="B56" s="66"/>
      <c r="C56" s="63"/>
      <c r="D56" s="63"/>
      <c r="E56" s="63"/>
      <c r="F56" s="63"/>
      <c r="G56" s="63"/>
      <c r="H56" s="63"/>
      <c r="I56" s="63"/>
      <c r="J56" s="63"/>
      <c r="K56" s="63"/>
      <c r="L56" s="66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ht="15.75" customHeight="1">
      <c r="A57" s="63"/>
      <c r="B57" s="66"/>
      <c r="C57" s="63"/>
      <c r="D57" s="63"/>
      <c r="E57" s="63"/>
      <c r="F57" s="63"/>
      <c r="G57" s="63"/>
      <c r="H57" s="63"/>
      <c r="I57" s="63"/>
      <c r="J57" s="63"/>
      <c r="K57" s="63"/>
      <c r="L57" s="66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ht="15.75" customHeight="1">
      <c r="A58" s="63"/>
      <c r="B58" s="66"/>
      <c r="C58" s="63"/>
      <c r="D58" s="63"/>
      <c r="E58" s="63"/>
      <c r="F58" s="63"/>
      <c r="G58" s="63"/>
      <c r="H58" s="63"/>
      <c r="I58" s="63"/>
      <c r="J58" s="63"/>
      <c r="K58" s="63"/>
      <c r="L58" s="66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5.75" customHeight="1">
      <c r="A59" s="63"/>
      <c r="B59" s="66"/>
      <c r="C59" s="63"/>
      <c r="D59" s="63"/>
      <c r="E59" s="63"/>
      <c r="F59" s="63"/>
      <c r="G59" s="63"/>
      <c r="H59" s="63"/>
      <c r="I59" s="63"/>
      <c r="J59" s="63"/>
      <c r="K59" s="63"/>
      <c r="L59" s="66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5.75" customHeight="1">
      <c r="A60" s="63"/>
      <c r="B60" s="66"/>
      <c r="C60" s="63"/>
      <c r="D60" s="63"/>
      <c r="E60" s="63"/>
      <c r="F60" s="63"/>
      <c r="G60" s="63"/>
      <c r="H60" s="63"/>
      <c r="I60" s="63"/>
      <c r="J60" s="63"/>
      <c r="K60" s="63"/>
      <c r="L60" s="66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5.75" customHeight="1">
      <c r="A61" s="63"/>
      <c r="B61" s="66"/>
      <c r="C61" s="63"/>
      <c r="D61" s="63"/>
      <c r="E61" s="63"/>
      <c r="F61" s="63"/>
      <c r="G61" s="63"/>
      <c r="H61" s="63"/>
      <c r="I61" s="63"/>
      <c r="J61" s="63"/>
      <c r="K61" s="63"/>
      <c r="L61" s="66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5.75" customHeight="1">
      <c r="A62" s="63"/>
      <c r="B62" s="66"/>
      <c r="C62" s="63"/>
      <c r="D62" s="63"/>
      <c r="E62" s="63"/>
      <c r="F62" s="63"/>
      <c r="G62" s="63"/>
      <c r="H62" s="63"/>
      <c r="I62" s="63"/>
      <c r="J62" s="63"/>
      <c r="K62" s="63"/>
      <c r="L62" s="66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5.75" customHeight="1">
      <c r="A63" s="63"/>
      <c r="B63" s="66"/>
      <c r="C63" s="63"/>
      <c r="D63" s="63"/>
      <c r="E63" s="63"/>
      <c r="F63" s="63"/>
      <c r="G63" s="63"/>
      <c r="H63" s="63"/>
      <c r="I63" s="63"/>
      <c r="J63" s="63"/>
      <c r="K63" s="63"/>
      <c r="L63" s="66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5.75" customHeight="1">
      <c r="A64" s="63"/>
      <c r="B64" s="66"/>
      <c r="C64" s="63"/>
      <c r="D64" s="63"/>
      <c r="E64" s="63"/>
      <c r="F64" s="63"/>
      <c r="G64" s="63"/>
      <c r="H64" s="63"/>
      <c r="I64" s="63"/>
      <c r="J64" s="63"/>
      <c r="K64" s="63"/>
      <c r="L64" s="66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5.75" customHeight="1">
      <c r="A65" s="63"/>
      <c r="B65" s="66"/>
      <c r="C65" s="63"/>
      <c r="D65" s="63"/>
      <c r="E65" s="63"/>
      <c r="F65" s="63"/>
      <c r="G65" s="63"/>
      <c r="H65" s="63"/>
      <c r="I65" s="63"/>
      <c r="J65" s="63"/>
      <c r="K65" s="63"/>
      <c r="L65" s="66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5.75" customHeight="1">
      <c r="A66" s="63"/>
      <c r="B66" s="66"/>
      <c r="C66" s="63"/>
      <c r="D66" s="63"/>
      <c r="E66" s="63"/>
      <c r="F66" s="63"/>
      <c r="G66" s="63"/>
      <c r="H66" s="63"/>
      <c r="I66" s="63"/>
      <c r="J66" s="63"/>
      <c r="K66" s="63"/>
      <c r="L66" s="66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5.75" customHeight="1">
      <c r="A67" s="63"/>
      <c r="B67" s="66"/>
      <c r="C67" s="63"/>
      <c r="D67" s="63"/>
      <c r="E67" s="63"/>
      <c r="F67" s="63"/>
      <c r="G67" s="63"/>
      <c r="H67" s="63"/>
      <c r="I67" s="63"/>
      <c r="J67" s="63"/>
      <c r="K67" s="63"/>
      <c r="L67" s="66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5.75" customHeight="1">
      <c r="A68" s="63"/>
      <c r="B68" s="66"/>
      <c r="C68" s="63"/>
      <c r="D68" s="63"/>
      <c r="E68" s="63"/>
      <c r="F68" s="63"/>
      <c r="G68" s="63"/>
      <c r="H68" s="63"/>
      <c r="I68" s="63"/>
      <c r="J68" s="63"/>
      <c r="K68" s="63"/>
      <c r="L68" s="66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5.75" customHeight="1">
      <c r="A69" s="63"/>
      <c r="B69" s="66"/>
      <c r="C69" s="63"/>
      <c r="D69" s="63"/>
      <c r="E69" s="63"/>
      <c r="F69" s="63"/>
      <c r="G69" s="63"/>
      <c r="H69" s="63"/>
      <c r="I69" s="63"/>
      <c r="J69" s="63"/>
      <c r="K69" s="63"/>
      <c r="L69" s="66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5.75" customHeight="1">
      <c r="A70" s="63"/>
      <c r="B70" s="66"/>
      <c r="C70" s="63"/>
      <c r="D70" s="63"/>
      <c r="E70" s="63"/>
      <c r="F70" s="63"/>
      <c r="G70" s="63"/>
      <c r="H70" s="63"/>
      <c r="I70" s="63"/>
      <c r="J70" s="63"/>
      <c r="K70" s="63"/>
      <c r="L70" s="66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5.75" customHeight="1">
      <c r="A71" s="63"/>
      <c r="B71" s="66"/>
      <c r="C71" s="63"/>
      <c r="D71" s="63"/>
      <c r="E71" s="63"/>
      <c r="F71" s="63"/>
      <c r="G71" s="63"/>
      <c r="H71" s="63"/>
      <c r="I71" s="63"/>
      <c r="J71" s="63"/>
      <c r="K71" s="63"/>
      <c r="L71" s="66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5.75" customHeight="1">
      <c r="A72" s="63"/>
      <c r="B72" s="66"/>
      <c r="C72" s="63"/>
      <c r="D72" s="63"/>
      <c r="E72" s="63"/>
      <c r="F72" s="63"/>
      <c r="G72" s="63"/>
      <c r="H72" s="63"/>
      <c r="I72" s="63"/>
      <c r="J72" s="63"/>
      <c r="K72" s="63"/>
      <c r="L72" s="66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5.75" customHeight="1">
      <c r="A73" s="63"/>
      <c r="B73" s="66"/>
      <c r="C73" s="63"/>
      <c r="D73" s="63"/>
      <c r="E73" s="63"/>
      <c r="F73" s="63"/>
      <c r="G73" s="63"/>
      <c r="H73" s="63"/>
      <c r="I73" s="63"/>
      <c r="J73" s="63"/>
      <c r="K73" s="63"/>
      <c r="L73" s="66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5.75" customHeight="1">
      <c r="A74" s="63"/>
      <c r="B74" s="66"/>
      <c r="C74" s="63"/>
      <c r="D74" s="63"/>
      <c r="E74" s="63"/>
      <c r="F74" s="63"/>
      <c r="G74" s="63"/>
      <c r="H74" s="63"/>
      <c r="I74" s="63"/>
      <c r="J74" s="63"/>
      <c r="K74" s="63"/>
      <c r="L74" s="66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5.75" customHeight="1">
      <c r="A75" s="63"/>
      <c r="B75" s="66"/>
      <c r="C75" s="63"/>
      <c r="D75" s="63"/>
      <c r="E75" s="63"/>
      <c r="F75" s="63"/>
      <c r="G75" s="63"/>
      <c r="H75" s="63"/>
      <c r="I75" s="63"/>
      <c r="J75" s="63"/>
      <c r="K75" s="63"/>
      <c r="L75" s="66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5.75" customHeight="1">
      <c r="A76" s="63"/>
      <c r="B76" s="66"/>
      <c r="C76" s="63"/>
      <c r="D76" s="63"/>
      <c r="E76" s="63"/>
      <c r="F76" s="63"/>
      <c r="G76" s="63"/>
      <c r="H76" s="63"/>
      <c r="I76" s="63"/>
      <c r="J76" s="63"/>
      <c r="K76" s="63"/>
      <c r="L76" s="66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5.75" customHeight="1">
      <c r="A77" s="63"/>
      <c r="B77" s="66"/>
      <c r="C77" s="63"/>
      <c r="D77" s="63"/>
      <c r="E77" s="63"/>
      <c r="F77" s="63"/>
      <c r="G77" s="63"/>
      <c r="H77" s="63"/>
      <c r="I77" s="63"/>
      <c r="J77" s="63"/>
      <c r="K77" s="63"/>
      <c r="L77" s="66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5.75" customHeight="1">
      <c r="A78" s="63"/>
      <c r="B78" s="66"/>
      <c r="C78" s="63"/>
      <c r="D78" s="63"/>
      <c r="E78" s="63"/>
      <c r="F78" s="63"/>
      <c r="G78" s="63"/>
      <c r="H78" s="63"/>
      <c r="I78" s="63"/>
      <c r="J78" s="63"/>
      <c r="K78" s="63"/>
      <c r="L78" s="66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5.75" customHeight="1">
      <c r="A79" s="63"/>
      <c r="B79" s="66"/>
      <c r="C79" s="63"/>
      <c r="D79" s="63"/>
      <c r="E79" s="63"/>
      <c r="F79" s="63"/>
      <c r="G79" s="63"/>
      <c r="H79" s="63"/>
      <c r="I79" s="63"/>
      <c r="J79" s="63"/>
      <c r="K79" s="63"/>
      <c r="L79" s="66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5.75" customHeight="1">
      <c r="A80" s="63"/>
      <c r="B80" s="66"/>
      <c r="C80" s="63"/>
      <c r="D80" s="63"/>
      <c r="E80" s="63"/>
      <c r="F80" s="63"/>
      <c r="G80" s="63"/>
      <c r="H80" s="63"/>
      <c r="I80" s="63"/>
      <c r="J80" s="63"/>
      <c r="K80" s="63"/>
      <c r="L80" s="66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5.75" customHeight="1">
      <c r="A81" s="63"/>
      <c r="B81" s="66"/>
      <c r="C81" s="63"/>
      <c r="D81" s="63"/>
      <c r="E81" s="63"/>
      <c r="F81" s="63"/>
      <c r="G81" s="63"/>
      <c r="H81" s="63"/>
      <c r="I81" s="63"/>
      <c r="J81" s="63"/>
      <c r="K81" s="63"/>
      <c r="L81" s="66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5.75" customHeight="1">
      <c r="A82" s="63"/>
      <c r="B82" s="66"/>
      <c r="C82" s="63"/>
      <c r="D82" s="63"/>
      <c r="E82" s="63"/>
      <c r="F82" s="63"/>
      <c r="G82" s="63"/>
      <c r="H82" s="63"/>
      <c r="I82" s="63"/>
      <c r="J82" s="63"/>
      <c r="K82" s="63"/>
      <c r="L82" s="66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5.75" customHeight="1">
      <c r="A83" s="63"/>
      <c r="B83" s="66"/>
      <c r="C83" s="63"/>
      <c r="D83" s="63"/>
      <c r="E83" s="63"/>
      <c r="F83" s="63"/>
      <c r="G83" s="63"/>
      <c r="H83" s="63"/>
      <c r="I83" s="63"/>
      <c r="J83" s="63"/>
      <c r="K83" s="63"/>
      <c r="L83" s="66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5.75" customHeight="1">
      <c r="A84" s="63"/>
      <c r="B84" s="66"/>
      <c r="C84" s="63"/>
      <c r="D84" s="63"/>
      <c r="E84" s="63"/>
      <c r="F84" s="63"/>
      <c r="G84" s="63"/>
      <c r="H84" s="63"/>
      <c r="I84" s="63"/>
      <c r="J84" s="63"/>
      <c r="K84" s="63"/>
      <c r="L84" s="66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5.75" customHeight="1">
      <c r="A85" s="63"/>
      <c r="B85" s="66"/>
      <c r="C85" s="63"/>
      <c r="D85" s="63"/>
      <c r="E85" s="63"/>
      <c r="F85" s="63"/>
      <c r="G85" s="63"/>
      <c r="H85" s="63"/>
      <c r="I85" s="63"/>
      <c r="J85" s="63"/>
      <c r="K85" s="63"/>
      <c r="L85" s="66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5.75" customHeight="1">
      <c r="A86" s="63"/>
      <c r="B86" s="66"/>
      <c r="C86" s="63"/>
      <c r="D86" s="63"/>
      <c r="E86" s="63"/>
      <c r="F86" s="63"/>
      <c r="G86" s="63"/>
      <c r="H86" s="63"/>
      <c r="I86" s="63"/>
      <c r="J86" s="63"/>
      <c r="K86" s="63"/>
      <c r="L86" s="66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5.75" customHeight="1">
      <c r="A87" s="63"/>
      <c r="B87" s="66"/>
      <c r="C87" s="63"/>
      <c r="D87" s="63"/>
      <c r="E87" s="63"/>
      <c r="F87" s="63"/>
      <c r="G87" s="63"/>
      <c r="H87" s="63"/>
      <c r="I87" s="63"/>
      <c r="J87" s="63"/>
      <c r="K87" s="63"/>
      <c r="L87" s="66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5.75" customHeight="1">
      <c r="A88" s="63"/>
      <c r="B88" s="66"/>
      <c r="C88" s="63"/>
      <c r="D88" s="63"/>
      <c r="E88" s="63"/>
      <c r="F88" s="63"/>
      <c r="G88" s="63"/>
      <c r="H88" s="63"/>
      <c r="I88" s="63"/>
      <c r="J88" s="63"/>
      <c r="K88" s="63"/>
      <c r="L88" s="66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5.75" customHeight="1">
      <c r="A89" s="63"/>
      <c r="B89" s="66"/>
      <c r="C89" s="63"/>
      <c r="D89" s="63"/>
      <c r="E89" s="63"/>
      <c r="F89" s="63"/>
      <c r="G89" s="63"/>
      <c r="H89" s="63"/>
      <c r="I89" s="63"/>
      <c r="J89" s="63"/>
      <c r="K89" s="63"/>
      <c r="L89" s="66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5.75" customHeight="1">
      <c r="A90" s="63"/>
      <c r="B90" s="66"/>
      <c r="C90" s="63"/>
      <c r="D90" s="63"/>
      <c r="E90" s="63"/>
      <c r="F90" s="63"/>
      <c r="G90" s="63"/>
      <c r="H90" s="63"/>
      <c r="I90" s="63"/>
      <c r="J90" s="63"/>
      <c r="K90" s="63"/>
      <c r="L90" s="66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5.75" customHeight="1">
      <c r="A91" s="63"/>
      <c r="B91" s="66"/>
      <c r="C91" s="63"/>
      <c r="D91" s="63"/>
      <c r="E91" s="63"/>
      <c r="F91" s="63"/>
      <c r="G91" s="63"/>
      <c r="H91" s="63"/>
      <c r="I91" s="63"/>
      <c r="J91" s="63"/>
      <c r="K91" s="63"/>
      <c r="L91" s="66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5.75" customHeight="1">
      <c r="A92" s="63"/>
      <c r="B92" s="66"/>
      <c r="C92" s="63"/>
      <c r="D92" s="63"/>
      <c r="E92" s="63"/>
      <c r="F92" s="63"/>
      <c r="G92" s="63"/>
      <c r="H92" s="63"/>
      <c r="I92" s="63"/>
      <c r="J92" s="63"/>
      <c r="K92" s="63"/>
      <c r="L92" s="66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5.75" customHeight="1">
      <c r="A93" s="63"/>
      <c r="B93" s="66"/>
      <c r="C93" s="63"/>
      <c r="D93" s="63"/>
      <c r="E93" s="63"/>
      <c r="F93" s="63"/>
      <c r="G93" s="63"/>
      <c r="H93" s="63"/>
      <c r="I93" s="63"/>
      <c r="J93" s="63"/>
      <c r="K93" s="63"/>
      <c r="L93" s="66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5.75" customHeight="1">
      <c r="A94" s="63"/>
      <c r="B94" s="66"/>
      <c r="C94" s="63"/>
      <c r="D94" s="63"/>
      <c r="E94" s="63"/>
      <c r="F94" s="63"/>
      <c r="G94" s="63"/>
      <c r="H94" s="63"/>
      <c r="I94" s="63"/>
      <c r="J94" s="63"/>
      <c r="K94" s="63"/>
      <c r="L94" s="66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5.75" customHeight="1">
      <c r="A95" s="63"/>
      <c r="B95" s="66"/>
      <c r="C95" s="63"/>
      <c r="D95" s="63"/>
      <c r="E95" s="63"/>
      <c r="F95" s="63"/>
      <c r="G95" s="63"/>
      <c r="H95" s="63"/>
      <c r="I95" s="63"/>
      <c r="J95" s="63"/>
      <c r="K95" s="63"/>
      <c r="L95" s="66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5.75" customHeight="1">
      <c r="A96" s="63"/>
      <c r="B96" s="66"/>
      <c r="C96" s="63"/>
      <c r="D96" s="63"/>
      <c r="E96" s="63"/>
      <c r="F96" s="63"/>
      <c r="G96" s="63"/>
      <c r="H96" s="63"/>
      <c r="I96" s="63"/>
      <c r="J96" s="63"/>
      <c r="K96" s="63"/>
      <c r="L96" s="66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5.75" customHeight="1">
      <c r="A97" s="63"/>
      <c r="B97" s="66"/>
      <c r="C97" s="63"/>
      <c r="D97" s="63"/>
      <c r="E97" s="63"/>
      <c r="F97" s="63"/>
      <c r="G97" s="63"/>
      <c r="H97" s="63"/>
      <c r="I97" s="63"/>
      <c r="J97" s="63"/>
      <c r="K97" s="63"/>
      <c r="L97" s="66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5.75" customHeight="1">
      <c r="A98" s="63"/>
      <c r="B98" s="66"/>
      <c r="C98" s="63"/>
      <c r="D98" s="63"/>
      <c r="E98" s="63"/>
      <c r="F98" s="63"/>
      <c r="G98" s="63"/>
      <c r="H98" s="63"/>
      <c r="I98" s="63"/>
      <c r="J98" s="63"/>
      <c r="K98" s="63"/>
      <c r="L98" s="66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5.75" customHeight="1">
      <c r="A99" s="63"/>
      <c r="B99" s="66"/>
      <c r="C99" s="63"/>
      <c r="D99" s="63"/>
      <c r="E99" s="63"/>
      <c r="F99" s="63"/>
      <c r="G99" s="63"/>
      <c r="H99" s="63"/>
      <c r="I99" s="63"/>
      <c r="J99" s="63"/>
      <c r="K99" s="63"/>
      <c r="L99" s="66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5.75" customHeight="1">
      <c r="A100" s="63"/>
      <c r="B100" s="66"/>
      <c r="C100" s="63"/>
      <c r="D100" s="63"/>
      <c r="E100" s="63"/>
      <c r="F100" s="63"/>
      <c r="G100" s="63"/>
      <c r="H100" s="63"/>
      <c r="I100" s="63"/>
      <c r="J100" s="63"/>
      <c r="K100" s="63"/>
      <c r="L100" s="66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5.75" customHeight="1">
      <c r="A101" s="63"/>
      <c r="B101" s="66"/>
      <c r="C101" s="63"/>
      <c r="D101" s="63"/>
      <c r="E101" s="63"/>
      <c r="F101" s="63"/>
      <c r="G101" s="63"/>
      <c r="H101" s="63"/>
      <c r="I101" s="63"/>
      <c r="J101" s="63"/>
      <c r="K101" s="63"/>
      <c r="L101" s="66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5.75" customHeight="1">
      <c r="A102" s="63"/>
      <c r="B102" s="66"/>
      <c r="C102" s="63"/>
      <c r="D102" s="63"/>
      <c r="E102" s="63"/>
      <c r="F102" s="63"/>
      <c r="G102" s="63"/>
      <c r="H102" s="63"/>
      <c r="I102" s="63"/>
      <c r="J102" s="63"/>
      <c r="K102" s="63"/>
      <c r="L102" s="66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5.75" customHeight="1">
      <c r="A103" s="63"/>
      <c r="B103" s="66"/>
      <c r="C103" s="63"/>
      <c r="D103" s="63"/>
      <c r="E103" s="63"/>
      <c r="F103" s="63"/>
      <c r="G103" s="63"/>
      <c r="H103" s="63"/>
      <c r="I103" s="63"/>
      <c r="J103" s="63"/>
      <c r="K103" s="63"/>
      <c r="L103" s="66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5.75" customHeight="1">
      <c r="A104" s="63"/>
      <c r="B104" s="66"/>
      <c r="C104" s="63"/>
      <c r="D104" s="63"/>
      <c r="E104" s="63"/>
      <c r="F104" s="63"/>
      <c r="G104" s="63"/>
      <c r="H104" s="63"/>
      <c r="I104" s="63"/>
      <c r="J104" s="63"/>
      <c r="K104" s="63"/>
      <c r="L104" s="66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5.75" customHeight="1">
      <c r="A105" s="63"/>
      <c r="B105" s="66"/>
      <c r="C105" s="63"/>
      <c r="D105" s="63"/>
      <c r="E105" s="63"/>
      <c r="F105" s="63"/>
      <c r="G105" s="63"/>
      <c r="H105" s="63"/>
      <c r="I105" s="63"/>
      <c r="J105" s="63"/>
      <c r="K105" s="63"/>
      <c r="L105" s="66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5.75" customHeight="1">
      <c r="A106" s="63"/>
      <c r="B106" s="66"/>
      <c r="C106" s="63"/>
      <c r="D106" s="63"/>
      <c r="E106" s="63"/>
      <c r="F106" s="63"/>
      <c r="G106" s="63"/>
      <c r="H106" s="63"/>
      <c r="I106" s="63"/>
      <c r="J106" s="63"/>
      <c r="K106" s="63"/>
      <c r="L106" s="66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5.75" customHeight="1">
      <c r="A107" s="63"/>
      <c r="B107" s="66"/>
      <c r="C107" s="63"/>
      <c r="D107" s="63"/>
      <c r="E107" s="63"/>
      <c r="F107" s="63"/>
      <c r="G107" s="63"/>
      <c r="H107" s="63"/>
      <c r="I107" s="63"/>
      <c r="J107" s="63"/>
      <c r="K107" s="63"/>
      <c r="L107" s="66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5.75" customHeight="1">
      <c r="A108" s="63"/>
      <c r="B108" s="66"/>
      <c r="C108" s="63"/>
      <c r="D108" s="63"/>
      <c r="E108" s="63"/>
      <c r="F108" s="63"/>
      <c r="G108" s="63"/>
      <c r="H108" s="63"/>
      <c r="I108" s="63"/>
      <c r="J108" s="63"/>
      <c r="K108" s="63"/>
      <c r="L108" s="66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5.75" customHeight="1">
      <c r="A109" s="63"/>
      <c r="B109" s="66"/>
      <c r="C109" s="63"/>
      <c r="D109" s="63"/>
      <c r="E109" s="63"/>
      <c r="F109" s="63"/>
      <c r="G109" s="63"/>
      <c r="H109" s="63"/>
      <c r="I109" s="63"/>
      <c r="J109" s="63"/>
      <c r="K109" s="63"/>
      <c r="L109" s="66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5.75" customHeight="1">
      <c r="A110" s="63"/>
      <c r="B110" s="66"/>
      <c r="C110" s="63"/>
      <c r="D110" s="63"/>
      <c r="E110" s="63"/>
      <c r="F110" s="63"/>
      <c r="G110" s="63"/>
      <c r="H110" s="63"/>
      <c r="I110" s="63"/>
      <c r="J110" s="63"/>
      <c r="K110" s="63"/>
      <c r="L110" s="66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5.75" customHeight="1">
      <c r="A111" s="63"/>
      <c r="B111" s="66"/>
      <c r="C111" s="63"/>
      <c r="D111" s="63"/>
      <c r="E111" s="63"/>
      <c r="F111" s="63"/>
      <c r="G111" s="63"/>
      <c r="H111" s="63"/>
      <c r="I111" s="63"/>
      <c r="J111" s="63"/>
      <c r="K111" s="63"/>
      <c r="L111" s="66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5.75" customHeight="1">
      <c r="A112" s="63"/>
      <c r="B112" s="66"/>
      <c r="C112" s="63"/>
      <c r="D112" s="63"/>
      <c r="E112" s="63"/>
      <c r="F112" s="63"/>
      <c r="G112" s="63"/>
      <c r="H112" s="63"/>
      <c r="I112" s="63"/>
      <c r="J112" s="63"/>
      <c r="K112" s="63"/>
      <c r="L112" s="66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5.75" customHeight="1">
      <c r="A113" s="63"/>
      <c r="B113" s="66"/>
      <c r="C113" s="63"/>
      <c r="D113" s="63"/>
      <c r="E113" s="63"/>
      <c r="F113" s="63"/>
      <c r="G113" s="63"/>
      <c r="H113" s="63"/>
      <c r="I113" s="63"/>
      <c r="J113" s="63"/>
      <c r="K113" s="63"/>
      <c r="L113" s="66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5.75" customHeight="1">
      <c r="A114" s="63"/>
      <c r="B114" s="66"/>
      <c r="C114" s="63"/>
      <c r="D114" s="63"/>
      <c r="E114" s="63"/>
      <c r="F114" s="63"/>
      <c r="G114" s="63"/>
      <c r="H114" s="63"/>
      <c r="I114" s="63"/>
      <c r="J114" s="63"/>
      <c r="K114" s="63"/>
      <c r="L114" s="66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5.75" customHeight="1">
      <c r="A115" s="63"/>
      <c r="B115" s="66"/>
      <c r="C115" s="63"/>
      <c r="D115" s="63"/>
      <c r="E115" s="63"/>
      <c r="F115" s="63"/>
      <c r="G115" s="63"/>
      <c r="H115" s="63"/>
      <c r="I115" s="63"/>
      <c r="J115" s="63"/>
      <c r="K115" s="63"/>
      <c r="L115" s="66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5.75" customHeight="1">
      <c r="A116" s="63"/>
      <c r="B116" s="66"/>
      <c r="C116" s="63"/>
      <c r="D116" s="63"/>
      <c r="E116" s="63"/>
      <c r="F116" s="63"/>
      <c r="G116" s="63"/>
      <c r="H116" s="63"/>
      <c r="I116" s="63"/>
      <c r="J116" s="63"/>
      <c r="K116" s="63"/>
      <c r="L116" s="66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5.75" customHeight="1">
      <c r="A117" s="63"/>
      <c r="B117" s="66"/>
      <c r="C117" s="63"/>
      <c r="D117" s="63"/>
      <c r="E117" s="63"/>
      <c r="F117" s="63"/>
      <c r="G117" s="63"/>
      <c r="H117" s="63"/>
      <c r="I117" s="63"/>
      <c r="J117" s="63"/>
      <c r="K117" s="63"/>
      <c r="L117" s="66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5.75" customHeight="1">
      <c r="A118" s="63"/>
      <c r="B118" s="66"/>
      <c r="C118" s="63"/>
      <c r="D118" s="63"/>
      <c r="E118" s="63"/>
      <c r="F118" s="63"/>
      <c r="G118" s="63"/>
      <c r="H118" s="63"/>
      <c r="I118" s="63"/>
      <c r="J118" s="63"/>
      <c r="K118" s="63"/>
      <c r="L118" s="66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5.75" customHeight="1">
      <c r="A119" s="63"/>
      <c r="B119" s="66"/>
      <c r="C119" s="63"/>
      <c r="D119" s="63"/>
      <c r="E119" s="63"/>
      <c r="F119" s="63"/>
      <c r="G119" s="63"/>
      <c r="H119" s="63"/>
      <c r="I119" s="63"/>
      <c r="J119" s="63"/>
      <c r="K119" s="63"/>
      <c r="L119" s="66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5.75" customHeight="1">
      <c r="A120" s="63"/>
      <c r="B120" s="66"/>
      <c r="C120" s="63"/>
      <c r="D120" s="63"/>
      <c r="E120" s="63"/>
      <c r="F120" s="63"/>
      <c r="G120" s="63"/>
      <c r="H120" s="63"/>
      <c r="I120" s="63"/>
      <c r="J120" s="63"/>
      <c r="K120" s="63"/>
      <c r="L120" s="66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5.75" customHeight="1">
      <c r="A121" s="63"/>
      <c r="B121" s="66"/>
      <c r="C121" s="63"/>
      <c r="D121" s="63"/>
      <c r="E121" s="63"/>
      <c r="F121" s="63"/>
      <c r="G121" s="63"/>
      <c r="H121" s="63"/>
      <c r="I121" s="63"/>
      <c r="J121" s="63"/>
      <c r="K121" s="63"/>
      <c r="L121" s="66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5.75" customHeight="1">
      <c r="A122" s="63"/>
      <c r="B122" s="66"/>
      <c r="C122" s="63"/>
      <c r="D122" s="63"/>
      <c r="E122" s="63"/>
      <c r="F122" s="63"/>
      <c r="G122" s="63"/>
      <c r="H122" s="63"/>
      <c r="I122" s="63"/>
      <c r="J122" s="63"/>
      <c r="K122" s="63"/>
      <c r="L122" s="66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5.75" customHeight="1">
      <c r="A123" s="63"/>
      <c r="B123" s="66"/>
      <c r="C123" s="63"/>
      <c r="D123" s="63"/>
      <c r="E123" s="63"/>
      <c r="F123" s="63"/>
      <c r="G123" s="63"/>
      <c r="H123" s="63"/>
      <c r="I123" s="63"/>
      <c r="J123" s="63"/>
      <c r="K123" s="63"/>
      <c r="L123" s="66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5.75" customHeight="1">
      <c r="A124" s="63"/>
      <c r="B124" s="66"/>
      <c r="C124" s="63"/>
      <c r="D124" s="63"/>
      <c r="E124" s="63"/>
      <c r="F124" s="63"/>
      <c r="G124" s="63"/>
      <c r="H124" s="63"/>
      <c r="I124" s="63"/>
      <c r="J124" s="63"/>
      <c r="K124" s="63"/>
      <c r="L124" s="66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5.75" customHeight="1">
      <c r="A125" s="63"/>
      <c r="B125" s="66"/>
      <c r="C125" s="63"/>
      <c r="D125" s="63"/>
      <c r="E125" s="63"/>
      <c r="F125" s="63"/>
      <c r="G125" s="63"/>
      <c r="H125" s="63"/>
      <c r="I125" s="63"/>
      <c r="J125" s="63"/>
      <c r="K125" s="63"/>
      <c r="L125" s="66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5.75" customHeight="1">
      <c r="A126" s="63"/>
      <c r="B126" s="66"/>
      <c r="C126" s="63"/>
      <c r="D126" s="63"/>
      <c r="E126" s="63"/>
      <c r="F126" s="63"/>
      <c r="G126" s="63"/>
      <c r="H126" s="63"/>
      <c r="I126" s="63"/>
      <c r="J126" s="63"/>
      <c r="K126" s="63"/>
      <c r="L126" s="66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5.75" customHeight="1">
      <c r="A127" s="63"/>
      <c r="B127" s="66"/>
      <c r="C127" s="63"/>
      <c r="D127" s="63"/>
      <c r="E127" s="63"/>
      <c r="F127" s="63"/>
      <c r="G127" s="63"/>
      <c r="H127" s="63"/>
      <c r="I127" s="63"/>
      <c r="J127" s="63"/>
      <c r="K127" s="63"/>
      <c r="L127" s="66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5.75" customHeight="1">
      <c r="A128" s="63"/>
      <c r="B128" s="66"/>
      <c r="C128" s="63"/>
      <c r="D128" s="63"/>
      <c r="E128" s="63"/>
      <c r="F128" s="63"/>
      <c r="G128" s="63"/>
      <c r="H128" s="63"/>
      <c r="I128" s="63"/>
      <c r="J128" s="63"/>
      <c r="K128" s="63"/>
      <c r="L128" s="66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5.75" customHeight="1">
      <c r="A129" s="63"/>
      <c r="B129" s="66"/>
      <c r="C129" s="63"/>
      <c r="D129" s="63"/>
      <c r="E129" s="63"/>
      <c r="F129" s="63"/>
      <c r="G129" s="63"/>
      <c r="H129" s="63"/>
      <c r="I129" s="63"/>
      <c r="J129" s="63"/>
      <c r="K129" s="63"/>
      <c r="L129" s="66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5.75" customHeight="1">
      <c r="A130" s="63"/>
      <c r="B130" s="66"/>
      <c r="C130" s="63"/>
      <c r="D130" s="63"/>
      <c r="E130" s="63"/>
      <c r="F130" s="63"/>
      <c r="G130" s="63"/>
      <c r="H130" s="63"/>
      <c r="I130" s="63"/>
      <c r="J130" s="63"/>
      <c r="K130" s="63"/>
      <c r="L130" s="66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5.75" customHeight="1">
      <c r="A131" s="63"/>
      <c r="B131" s="66"/>
      <c r="C131" s="63"/>
      <c r="D131" s="63"/>
      <c r="E131" s="63"/>
      <c r="F131" s="63"/>
      <c r="G131" s="63"/>
      <c r="H131" s="63"/>
      <c r="I131" s="63"/>
      <c r="J131" s="63"/>
      <c r="K131" s="63"/>
      <c r="L131" s="66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5.75" customHeight="1">
      <c r="A132" s="63"/>
      <c r="B132" s="66"/>
      <c r="C132" s="63"/>
      <c r="D132" s="63"/>
      <c r="E132" s="63"/>
      <c r="F132" s="63"/>
      <c r="G132" s="63"/>
      <c r="H132" s="63"/>
      <c r="I132" s="63"/>
      <c r="J132" s="63"/>
      <c r="K132" s="63"/>
      <c r="L132" s="66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5.75" customHeight="1">
      <c r="A133" s="63"/>
      <c r="B133" s="66"/>
      <c r="C133" s="63"/>
      <c r="D133" s="63"/>
      <c r="E133" s="63"/>
      <c r="F133" s="63"/>
      <c r="G133" s="63"/>
      <c r="H133" s="63"/>
      <c r="I133" s="63"/>
      <c r="J133" s="63"/>
      <c r="K133" s="63"/>
      <c r="L133" s="66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5.75" customHeight="1">
      <c r="A134" s="63"/>
      <c r="B134" s="66"/>
      <c r="C134" s="63"/>
      <c r="D134" s="63"/>
      <c r="E134" s="63"/>
      <c r="F134" s="63"/>
      <c r="G134" s="63"/>
      <c r="H134" s="63"/>
      <c r="I134" s="63"/>
      <c r="J134" s="63"/>
      <c r="K134" s="63"/>
      <c r="L134" s="66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5.75" customHeight="1">
      <c r="A135" s="63"/>
      <c r="B135" s="66"/>
      <c r="C135" s="63"/>
      <c r="D135" s="63"/>
      <c r="E135" s="63"/>
      <c r="F135" s="63"/>
      <c r="G135" s="63"/>
      <c r="H135" s="63"/>
      <c r="I135" s="63"/>
      <c r="J135" s="63"/>
      <c r="K135" s="63"/>
      <c r="L135" s="66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5.75" customHeight="1">
      <c r="A136" s="63"/>
      <c r="B136" s="66"/>
      <c r="C136" s="63"/>
      <c r="D136" s="63"/>
      <c r="E136" s="63"/>
      <c r="F136" s="63"/>
      <c r="G136" s="63"/>
      <c r="H136" s="63"/>
      <c r="I136" s="63"/>
      <c r="J136" s="63"/>
      <c r="K136" s="63"/>
      <c r="L136" s="66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5.75" customHeight="1">
      <c r="A137" s="63"/>
      <c r="B137" s="66"/>
      <c r="C137" s="63"/>
      <c r="D137" s="63"/>
      <c r="E137" s="63"/>
      <c r="F137" s="63"/>
      <c r="G137" s="63"/>
      <c r="H137" s="63"/>
      <c r="I137" s="63"/>
      <c r="J137" s="63"/>
      <c r="K137" s="63"/>
      <c r="L137" s="66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5.75" customHeight="1">
      <c r="A138" s="63"/>
      <c r="B138" s="66"/>
      <c r="C138" s="63"/>
      <c r="D138" s="63"/>
      <c r="E138" s="63"/>
      <c r="F138" s="63"/>
      <c r="G138" s="63"/>
      <c r="H138" s="63"/>
      <c r="I138" s="63"/>
      <c r="J138" s="63"/>
      <c r="K138" s="63"/>
      <c r="L138" s="66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5.75" customHeight="1">
      <c r="A139" s="63"/>
      <c r="B139" s="66"/>
      <c r="C139" s="63"/>
      <c r="D139" s="63"/>
      <c r="E139" s="63"/>
      <c r="F139" s="63"/>
      <c r="G139" s="63"/>
      <c r="H139" s="63"/>
      <c r="I139" s="63"/>
      <c r="J139" s="63"/>
      <c r="K139" s="63"/>
      <c r="L139" s="66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5.75" customHeight="1">
      <c r="A140" s="63"/>
      <c r="B140" s="66"/>
      <c r="C140" s="63"/>
      <c r="D140" s="63"/>
      <c r="E140" s="63"/>
      <c r="F140" s="63"/>
      <c r="G140" s="63"/>
      <c r="H140" s="63"/>
      <c r="I140" s="63"/>
      <c r="J140" s="63"/>
      <c r="K140" s="63"/>
      <c r="L140" s="66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5.75" customHeight="1">
      <c r="A141" s="63"/>
      <c r="B141" s="66"/>
      <c r="C141" s="63"/>
      <c r="D141" s="63"/>
      <c r="E141" s="63"/>
      <c r="F141" s="63"/>
      <c r="G141" s="63"/>
      <c r="H141" s="63"/>
      <c r="I141" s="63"/>
      <c r="J141" s="63"/>
      <c r="K141" s="63"/>
      <c r="L141" s="66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5.75" customHeight="1">
      <c r="A142" s="63"/>
      <c r="B142" s="66"/>
      <c r="C142" s="63"/>
      <c r="D142" s="63"/>
      <c r="E142" s="63"/>
      <c r="F142" s="63"/>
      <c r="G142" s="63"/>
      <c r="H142" s="63"/>
      <c r="I142" s="63"/>
      <c r="J142" s="63"/>
      <c r="K142" s="63"/>
      <c r="L142" s="66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5.75" customHeight="1">
      <c r="A143" s="63"/>
      <c r="B143" s="66"/>
      <c r="C143" s="63"/>
      <c r="D143" s="63"/>
      <c r="E143" s="63"/>
      <c r="F143" s="63"/>
      <c r="G143" s="63"/>
      <c r="H143" s="63"/>
      <c r="I143" s="63"/>
      <c r="J143" s="63"/>
      <c r="K143" s="63"/>
      <c r="L143" s="66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5.75" customHeight="1">
      <c r="A144" s="63"/>
      <c r="B144" s="66"/>
      <c r="C144" s="63"/>
      <c r="D144" s="63"/>
      <c r="E144" s="63"/>
      <c r="F144" s="63"/>
      <c r="G144" s="63"/>
      <c r="H144" s="63"/>
      <c r="I144" s="63"/>
      <c r="J144" s="63"/>
      <c r="K144" s="63"/>
      <c r="L144" s="66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5.75" customHeight="1">
      <c r="A145" s="63"/>
      <c r="B145" s="66"/>
      <c r="C145" s="63"/>
      <c r="D145" s="63"/>
      <c r="E145" s="63"/>
      <c r="F145" s="63"/>
      <c r="G145" s="63"/>
      <c r="H145" s="63"/>
      <c r="I145" s="63"/>
      <c r="J145" s="63"/>
      <c r="K145" s="63"/>
      <c r="L145" s="66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5.75" customHeight="1">
      <c r="A146" s="63"/>
      <c r="B146" s="66"/>
      <c r="C146" s="63"/>
      <c r="D146" s="63"/>
      <c r="E146" s="63"/>
      <c r="F146" s="63"/>
      <c r="G146" s="63"/>
      <c r="H146" s="63"/>
      <c r="I146" s="63"/>
      <c r="J146" s="63"/>
      <c r="K146" s="63"/>
      <c r="L146" s="66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5.75" customHeight="1">
      <c r="A147" s="63"/>
      <c r="B147" s="66"/>
      <c r="C147" s="63"/>
      <c r="D147" s="63"/>
      <c r="E147" s="63"/>
      <c r="F147" s="63"/>
      <c r="G147" s="63"/>
      <c r="H147" s="63"/>
      <c r="I147" s="63"/>
      <c r="J147" s="63"/>
      <c r="K147" s="63"/>
      <c r="L147" s="66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5.75" customHeight="1">
      <c r="A148" s="63"/>
      <c r="B148" s="66"/>
      <c r="C148" s="63"/>
      <c r="D148" s="63"/>
      <c r="E148" s="63"/>
      <c r="F148" s="63"/>
      <c r="G148" s="63"/>
      <c r="H148" s="63"/>
      <c r="I148" s="63"/>
      <c r="J148" s="63"/>
      <c r="K148" s="63"/>
      <c r="L148" s="66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5.75" customHeight="1">
      <c r="A149" s="63"/>
      <c r="B149" s="66"/>
      <c r="C149" s="63"/>
      <c r="D149" s="63"/>
      <c r="E149" s="63"/>
      <c r="F149" s="63"/>
      <c r="G149" s="63"/>
      <c r="H149" s="63"/>
      <c r="I149" s="63"/>
      <c r="J149" s="63"/>
      <c r="K149" s="63"/>
      <c r="L149" s="66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5.75" customHeight="1">
      <c r="A150" s="63"/>
      <c r="B150" s="66"/>
      <c r="C150" s="63"/>
      <c r="D150" s="63"/>
      <c r="E150" s="63"/>
      <c r="F150" s="63"/>
      <c r="G150" s="63"/>
      <c r="H150" s="63"/>
      <c r="I150" s="63"/>
      <c r="J150" s="63"/>
      <c r="K150" s="63"/>
      <c r="L150" s="66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5.75" customHeight="1">
      <c r="A151" s="63"/>
      <c r="B151" s="66"/>
      <c r="C151" s="63"/>
      <c r="D151" s="63"/>
      <c r="E151" s="63"/>
      <c r="F151" s="63"/>
      <c r="G151" s="63"/>
      <c r="H151" s="63"/>
      <c r="I151" s="63"/>
      <c r="J151" s="63"/>
      <c r="K151" s="63"/>
      <c r="L151" s="66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5.75" customHeight="1">
      <c r="A152" s="63"/>
      <c r="B152" s="66"/>
      <c r="C152" s="63"/>
      <c r="D152" s="63"/>
      <c r="E152" s="63"/>
      <c r="F152" s="63"/>
      <c r="G152" s="63"/>
      <c r="H152" s="63"/>
      <c r="I152" s="63"/>
      <c r="J152" s="63"/>
      <c r="K152" s="63"/>
      <c r="L152" s="66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5.75" customHeight="1">
      <c r="A153" s="63"/>
      <c r="B153" s="66"/>
      <c r="C153" s="63"/>
      <c r="D153" s="63"/>
      <c r="E153" s="63"/>
      <c r="F153" s="63"/>
      <c r="G153" s="63"/>
      <c r="H153" s="63"/>
      <c r="I153" s="63"/>
      <c r="J153" s="63"/>
      <c r="K153" s="63"/>
      <c r="L153" s="66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5.75" customHeight="1">
      <c r="A154" s="63"/>
      <c r="B154" s="66"/>
      <c r="C154" s="63"/>
      <c r="D154" s="63"/>
      <c r="E154" s="63"/>
      <c r="F154" s="63"/>
      <c r="G154" s="63"/>
      <c r="H154" s="63"/>
      <c r="I154" s="63"/>
      <c r="J154" s="63"/>
      <c r="K154" s="63"/>
      <c r="L154" s="66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5.75" customHeight="1">
      <c r="A155" s="63"/>
      <c r="B155" s="66"/>
      <c r="C155" s="63"/>
      <c r="D155" s="63"/>
      <c r="E155" s="63"/>
      <c r="F155" s="63"/>
      <c r="G155" s="63"/>
      <c r="H155" s="63"/>
      <c r="I155" s="63"/>
      <c r="J155" s="63"/>
      <c r="K155" s="63"/>
      <c r="L155" s="66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5.75" customHeight="1">
      <c r="A156" s="63"/>
      <c r="B156" s="66"/>
      <c r="C156" s="63"/>
      <c r="D156" s="63"/>
      <c r="E156" s="63"/>
      <c r="F156" s="63"/>
      <c r="G156" s="63"/>
      <c r="H156" s="63"/>
      <c r="I156" s="63"/>
      <c r="J156" s="63"/>
      <c r="K156" s="63"/>
      <c r="L156" s="66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5.75" customHeight="1">
      <c r="A157" s="63"/>
      <c r="B157" s="66"/>
      <c r="C157" s="63"/>
      <c r="D157" s="63"/>
      <c r="E157" s="63"/>
      <c r="F157" s="63"/>
      <c r="G157" s="63"/>
      <c r="H157" s="63"/>
      <c r="I157" s="63"/>
      <c r="J157" s="63"/>
      <c r="K157" s="63"/>
      <c r="L157" s="66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5.75" customHeight="1">
      <c r="A158" s="63"/>
      <c r="B158" s="66"/>
      <c r="C158" s="63"/>
      <c r="D158" s="63"/>
      <c r="E158" s="63"/>
      <c r="F158" s="63"/>
      <c r="G158" s="63"/>
      <c r="H158" s="63"/>
      <c r="I158" s="63"/>
      <c r="J158" s="63"/>
      <c r="K158" s="63"/>
      <c r="L158" s="66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5.75" customHeight="1">
      <c r="A159" s="63"/>
      <c r="B159" s="66"/>
      <c r="C159" s="63"/>
      <c r="D159" s="63"/>
      <c r="E159" s="63"/>
      <c r="F159" s="63"/>
      <c r="G159" s="63"/>
      <c r="H159" s="63"/>
      <c r="I159" s="63"/>
      <c r="J159" s="63"/>
      <c r="K159" s="63"/>
      <c r="L159" s="66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5.75" customHeight="1">
      <c r="A160" s="63"/>
      <c r="B160" s="66"/>
      <c r="C160" s="63"/>
      <c r="D160" s="63"/>
      <c r="E160" s="63"/>
      <c r="F160" s="63"/>
      <c r="G160" s="63"/>
      <c r="H160" s="63"/>
      <c r="I160" s="63"/>
      <c r="J160" s="63"/>
      <c r="K160" s="63"/>
      <c r="L160" s="66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5.75" customHeight="1">
      <c r="A161" s="63"/>
      <c r="B161" s="66"/>
      <c r="C161" s="63"/>
      <c r="D161" s="63"/>
      <c r="E161" s="63"/>
      <c r="F161" s="63"/>
      <c r="G161" s="63"/>
      <c r="H161" s="63"/>
      <c r="I161" s="63"/>
      <c r="J161" s="63"/>
      <c r="K161" s="63"/>
      <c r="L161" s="66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5.75" customHeight="1">
      <c r="A162" s="63"/>
      <c r="B162" s="66"/>
      <c r="C162" s="63"/>
      <c r="D162" s="63"/>
      <c r="E162" s="63"/>
      <c r="F162" s="63"/>
      <c r="G162" s="63"/>
      <c r="H162" s="63"/>
      <c r="I162" s="63"/>
      <c r="J162" s="63"/>
      <c r="K162" s="63"/>
      <c r="L162" s="66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5.75" customHeight="1">
      <c r="A163" s="63"/>
      <c r="B163" s="66"/>
      <c r="C163" s="63"/>
      <c r="D163" s="63"/>
      <c r="E163" s="63"/>
      <c r="F163" s="63"/>
      <c r="G163" s="63"/>
      <c r="H163" s="63"/>
      <c r="I163" s="63"/>
      <c r="J163" s="63"/>
      <c r="K163" s="63"/>
      <c r="L163" s="66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5.75" customHeight="1">
      <c r="A164" s="63"/>
      <c r="B164" s="66"/>
      <c r="C164" s="63"/>
      <c r="D164" s="63"/>
      <c r="E164" s="63"/>
      <c r="F164" s="63"/>
      <c r="G164" s="63"/>
      <c r="H164" s="63"/>
      <c r="I164" s="63"/>
      <c r="J164" s="63"/>
      <c r="K164" s="63"/>
      <c r="L164" s="66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5.75" customHeight="1">
      <c r="A165" s="63"/>
      <c r="B165" s="66"/>
      <c r="C165" s="63"/>
      <c r="D165" s="63"/>
      <c r="E165" s="63"/>
      <c r="F165" s="63"/>
      <c r="G165" s="63"/>
      <c r="H165" s="63"/>
      <c r="I165" s="63"/>
      <c r="J165" s="63"/>
      <c r="K165" s="63"/>
      <c r="L165" s="66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5.75" customHeight="1">
      <c r="A166" s="63"/>
      <c r="B166" s="66"/>
      <c r="C166" s="63"/>
      <c r="D166" s="63"/>
      <c r="E166" s="63"/>
      <c r="F166" s="63"/>
      <c r="G166" s="63"/>
      <c r="H166" s="63"/>
      <c r="I166" s="63"/>
      <c r="J166" s="63"/>
      <c r="K166" s="63"/>
      <c r="L166" s="66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5.75" customHeight="1">
      <c r="A167" s="63"/>
      <c r="B167" s="66"/>
      <c r="C167" s="63"/>
      <c r="D167" s="63"/>
      <c r="E167" s="63"/>
      <c r="F167" s="63"/>
      <c r="G167" s="63"/>
      <c r="H167" s="63"/>
      <c r="I167" s="63"/>
      <c r="J167" s="63"/>
      <c r="K167" s="63"/>
      <c r="L167" s="66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5.75" customHeight="1">
      <c r="A168" s="63"/>
      <c r="B168" s="66"/>
      <c r="C168" s="63"/>
      <c r="D168" s="63"/>
      <c r="E168" s="63"/>
      <c r="F168" s="63"/>
      <c r="G168" s="63"/>
      <c r="H168" s="63"/>
      <c r="I168" s="63"/>
      <c r="J168" s="63"/>
      <c r="K168" s="63"/>
      <c r="L168" s="66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5.75" customHeight="1">
      <c r="A169" s="63"/>
      <c r="B169" s="66"/>
      <c r="C169" s="63"/>
      <c r="D169" s="63"/>
      <c r="E169" s="63"/>
      <c r="F169" s="63"/>
      <c r="G169" s="63"/>
      <c r="H169" s="63"/>
      <c r="I169" s="63"/>
      <c r="J169" s="63"/>
      <c r="K169" s="63"/>
      <c r="L169" s="66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5.75" customHeight="1">
      <c r="A170" s="63"/>
      <c r="B170" s="66"/>
      <c r="C170" s="63"/>
      <c r="D170" s="63"/>
      <c r="E170" s="63"/>
      <c r="F170" s="63"/>
      <c r="G170" s="63"/>
      <c r="H170" s="63"/>
      <c r="I170" s="63"/>
      <c r="J170" s="63"/>
      <c r="K170" s="63"/>
      <c r="L170" s="66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5.75" customHeight="1">
      <c r="A171" s="63"/>
      <c r="B171" s="66"/>
      <c r="C171" s="63"/>
      <c r="D171" s="63"/>
      <c r="E171" s="63"/>
      <c r="F171" s="63"/>
      <c r="G171" s="63"/>
      <c r="H171" s="63"/>
      <c r="I171" s="63"/>
      <c r="J171" s="63"/>
      <c r="K171" s="63"/>
      <c r="L171" s="66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5.75" customHeight="1">
      <c r="A172" s="63"/>
      <c r="B172" s="66"/>
      <c r="C172" s="63"/>
      <c r="D172" s="63"/>
      <c r="E172" s="63"/>
      <c r="F172" s="63"/>
      <c r="G172" s="63"/>
      <c r="H172" s="63"/>
      <c r="I172" s="63"/>
      <c r="J172" s="63"/>
      <c r="K172" s="63"/>
      <c r="L172" s="66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5.75" customHeight="1">
      <c r="A173" s="63"/>
      <c r="B173" s="66"/>
      <c r="C173" s="63"/>
      <c r="D173" s="63"/>
      <c r="E173" s="63"/>
      <c r="F173" s="63"/>
      <c r="G173" s="63"/>
      <c r="H173" s="63"/>
      <c r="I173" s="63"/>
      <c r="J173" s="63"/>
      <c r="K173" s="63"/>
      <c r="L173" s="66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5.75" customHeight="1">
      <c r="A174" s="63"/>
      <c r="B174" s="66"/>
      <c r="C174" s="63"/>
      <c r="D174" s="63"/>
      <c r="E174" s="63"/>
      <c r="F174" s="63"/>
      <c r="G174" s="63"/>
      <c r="H174" s="63"/>
      <c r="I174" s="63"/>
      <c r="J174" s="63"/>
      <c r="K174" s="63"/>
      <c r="L174" s="66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5.75" customHeight="1">
      <c r="A175" s="63"/>
      <c r="B175" s="66"/>
      <c r="C175" s="63"/>
      <c r="D175" s="63"/>
      <c r="E175" s="63"/>
      <c r="F175" s="63"/>
      <c r="G175" s="63"/>
      <c r="H175" s="63"/>
      <c r="I175" s="63"/>
      <c r="J175" s="63"/>
      <c r="K175" s="63"/>
      <c r="L175" s="66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5.75" customHeight="1">
      <c r="A176" s="63"/>
      <c r="B176" s="66"/>
      <c r="C176" s="63"/>
      <c r="D176" s="63"/>
      <c r="E176" s="63"/>
      <c r="F176" s="63"/>
      <c r="G176" s="63"/>
      <c r="H176" s="63"/>
      <c r="I176" s="63"/>
      <c r="J176" s="63"/>
      <c r="K176" s="63"/>
      <c r="L176" s="66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5.75" customHeight="1">
      <c r="A177" s="63"/>
      <c r="B177" s="66"/>
      <c r="C177" s="63"/>
      <c r="D177" s="63"/>
      <c r="E177" s="63"/>
      <c r="F177" s="63"/>
      <c r="G177" s="63"/>
      <c r="H177" s="63"/>
      <c r="I177" s="63"/>
      <c r="J177" s="63"/>
      <c r="K177" s="63"/>
      <c r="L177" s="66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5.75" customHeight="1">
      <c r="A178" s="63"/>
      <c r="B178" s="66"/>
      <c r="C178" s="63"/>
      <c r="D178" s="63"/>
      <c r="E178" s="63"/>
      <c r="F178" s="63"/>
      <c r="G178" s="63"/>
      <c r="H178" s="63"/>
      <c r="I178" s="63"/>
      <c r="J178" s="63"/>
      <c r="K178" s="63"/>
      <c r="L178" s="66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5.75" customHeight="1">
      <c r="A179" s="63"/>
      <c r="B179" s="66"/>
      <c r="C179" s="63"/>
      <c r="D179" s="63"/>
      <c r="E179" s="63"/>
      <c r="F179" s="63"/>
      <c r="G179" s="63"/>
      <c r="H179" s="63"/>
      <c r="I179" s="63"/>
      <c r="J179" s="63"/>
      <c r="K179" s="63"/>
      <c r="L179" s="66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5.75" customHeight="1">
      <c r="A180" s="63"/>
      <c r="B180" s="66"/>
      <c r="C180" s="63"/>
      <c r="D180" s="63"/>
      <c r="E180" s="63"/>
      <c r="F180" s="63"/>
      <c r="G180" s="63"/>
      <c r="H180" s="63"/>
      <c r="I180" s="63"/>
      <c r="J180" s="63"/>
      <c r="K180" s="63"/>
      <c r="L180" s="66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5.75" customHeight="1">
      <c r="A181" s="63"/>
      <c r="B181" s="66"/>
      <c r="C181" s="63"/>
      <c r="D181" s="63"/>
      <c r="E181" s="63"/>
      <c r="F181" s="63"/>
      <c r="G181" s="63"/>
      <c r="H181" s="63"/>
      <c r="I181" s="63"/>
      <c r="J181" s="63"/>
      <c r="K181" s="63"/>
      <c r="L181" s="66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5.75" customHeight="1">
      <c r="A182" s="63"/>
      <c r="B182" s="66"/>
      <c r="C182" s="63"/>
      <c r="D182" s="63"/>
      <c r="E182" s="63"/>
      <c r="F182" s="63"/>
      <c r="G182" s="63"/>
      <c r="H182" s="63"/>
      <c r="I182" s="63"/>
      <c r="J182" s="63"/>
      <c r="K182" s="63"/>
      <c r="L182" s="66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5.75" customHeight="1">
      <c r="A183" s="63"/>
      <c r="B183" s="66"/>
      <c r="C183" s="63"/>
      <c r="D183" s="63"/>
      <c r="E183" s="63"/>
      <c r="F183" s="63"/>
      <c r="G183" s="63"/>
      <c r="H183" s="63"/>
      <c r="I183" s="63"/>
      <c r="J183" s="63"/>
      <c r="K183" s="63"/>
      <c r="L183" s="66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5.75" customHeight="1">
      <c r="A184" s="63"/>
      <c r="B184" s="66"/>
      <c r="C184" s="63"/>
      <c r="D184" s="63"/>
      <c r="E184" s="63"/>
      <c r="F184" s="63"/>
      <c r="G184" s="63"/>
      <c r="H184" s="63"/>
      <c r="I184" s="63"/>
      <c r="J184" s="63"/>
      <c r="K184" s="63"/>
      <c r="L184" s="66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5.75" customHeight="1">
      <c r="A185" s="63"/>
      <c r="B185" s="66"/>
      <c r="C185" s="63"/>
      <c r="D185" s="63"/>
      <c r="E185" s="63"/>
      <c r="F185" s="63"/>
      <c r="G185" s="63"/>
      <c r="H185" s="63"/>
      <c r="I185" s="63"/>
      <c r="J185" s="63"/>
      <c r="K185" s="63"/>
      <c r="L185" s="66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5.75" customHeight="1">
      <c r="A186" s="63"/>
      <c r="B186" s="66"/>
      <c r="C186" s="63"/>
      <c r="D186" s="63"/>
      <c r="E186" s="63"/>
      <c r="F186" s="63"/>
      <c r="G186" s="63"/>
      <c r="H186" s="63"/>
      <c r="I186" s="63"/>
      <c r="J186" s="63"/>
      <c r="K186" s="63"/>
      <c r="L186" s="66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5.75" customHeight="1">
      <c r="A187" s="63"/>
      <c r="B187" s="66"/>
      <c r="C187" s="63"/>
      <c r="D187" s="63"/>
      <c r="E187" s="63"/>
      <c r="F187" s="63"/>
      <c r="G187" s="63"/>
      <c r="H187" s="63"/>
      <c r="I187" s="63"/>
      <c r="J187" s="63"/>
      <c r="K187" s="63"/>
      <c r="L187" s="66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5.75" customHeight="1">
      <c r="A188" s="63"/>
      <c r="B188" s="66"/>
      <c r="C188" s="63"/>
      <c r="D188" s="63"/>
      <c r="E188" s="63"/>
      <c r="F188" s="63"/>
      <c r="G188" s="63"/>
      <c r="H188" s="63"/>
      <c r="I188" s="63"/>
      <c r="J188" s="63"/>
      <c r="K188" s="63"/>
      <c r="L188" s="66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5.75" customHeight="1">
      <c r="A189" s="63"/>
      <c r="B189" s="66"/>
      <c r="C189" s="63"/>
      <c r="D189" s="63"/>
      <c r="E189" s="63"/>
      <c r="F189" s="63"/>
      <c r="G189" s="63"/>
      <c r="H189" s="63"/>
      <c r="I189" s="63"/>
      <c r="J189" s="63"/>
      <c r="K189" s="63"/>
      <c r="L189" s="66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5.75" customHeight="1">
      <c r="A190" s="63"/>
      <c r="B190" s="66"/>
      <c r="C190" s="63"/>
      <c r="D190" s="63"/>
      <c r="E190" s="63"/>
      <c r="F190" s="63"/>
      <c r="G190" s="63"/>
      <c r="H190" s="63"/>
      <c r="I190" s="63"/>
      <c r="J190" s="63"/>
      <c r="K190" s="63"/>
      <c r="L190" s="66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5.75" customHeight="1">
      <c r="A191" s="63"/>
      <c r="B191" s="66"/>
      <c r="C191" s="63"/>
      <c r="D191" s="63"/>
      <c r="E191" s="63"/>
      <c r="F191" s="63"/>
      <c r="G191" s="63"/>
      <c r="H191" s="63"/>
      <c r="I191" s="63"/>
      <c r="J191" s="63"/>
      <c r="K191" s="63"/>
      <c r="L191" s="66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5.75" customHeight="1">
      <c r="A192" s="63"/>
      <c r="B192" s="66"/>
      <c r="C192" s="63"/>
      <c r="D192" s="63"/>
      <c r="E192" s="63"/>
      <c r="F192" s="63"/>
      <c r="G192" s="63"/>
      <c r="H192" s="63"/>
      <c r="I192" s="63"/>
      <c r="J192" s="63"/>
      <c r="K192" s="63"/>
      <c r="L192" s="66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5.75" customHeight="1">
      <c r="A193" s="63"/>
      <c r="B193" s="66"/>
      <c r="C193" s="63"/>
      <c r="D193" s="63"/>
      <c r="E193" s="63"/>
      <c r="F193" s="63"/>
      <c r="G193" s="63"/>
      <c r="H193" s="63"/>
      <c r="I193" s="63"/>
      <c r="J193" s="63"/>
      <c r="K193" s="63"/>
      <c r="L193" s="66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5.75" customHeight="1">
      <c r="A194" s="63"/>
      <c r="B194" s="66"/>
      <c r="C194" s="63"/>
      <c r="D194" s="63"/>
      <c r="E194" s="63"/>
      <c r="F194" s="63"/>
      <c r="G194" s="63"/>
      <c r="H194" s="63"/>
      <c r="I194" s="63"/>
      <c r="J194" s="63"/>
      <c r="K194" s="63"/>
      <c r="L194" s="66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5.75" customHeight="1">
      <c r="A195" s="63"/>
      <c r="B195" s="66"/>
      <c r="C195" s="63"/>
      <c r="D195" s="63"/>
      <c r="E195" s="63"/>
      <c r="F195" s="63"/>
      <c r="G195" s="63"/>
      <c r="H195" s="63"/>
      <c r="I195" s="63"/>
      <c r="J195" s="63"/>
      <c r="K195" s="63"/>
      <c r="L195" s="66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5.75" customHeight="1">
      <c r="A196" s="63"/>
      <c r="B196" s="66"/>
      <c r="C196" s="63"/>
      <c r="D196" s="63"/>
      <c r="E196" s="63"/>
      <c r="F196" s="63"/>
      <c r="G196" s="63"/>
      <c r="H196" s="63"/>
      <c r="I196" s="63"/>
      <c r="J196" s="63"/>
      <c r="K196" s="63"/>
      <c r="L196" s="66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5.75" customHeight="1">
      <c r="A197" s="63"/>
      <c r="B197" s="66"/>
      <c r="C197" s="63"/>
      <c r="D197" s="63"/>
      <c r="E197" s="63"/>
      <c r="F197" s="63"/>
      <c r="G197" s="63"/>
      <c r="H197" s="63"/>
      <c r="I197" s="63"/>
      <c r="J197" s="63"/>
      <c r="K197" s="63"/>
      <c r="L197" s="66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5.75" customHeight="1">
      <c r="A198" s="63"/>
      <c r="B198" s="66"/>
      <c r="C198" s="63"/>
      <c r="D198" s="63"/>
      <c r="E198" s="63"/>
      <c r="F198" s="63"/>
      <c r="G198" s="63"/>
      <c r="H198" s="63"/>
      <c r="I198" s="63"/>
      <c r="J198" s="63"/>
      <c r="K198" s="63"/>
      <c r="L198" s="66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5.75" customHeight="1">
      <c r="A199" s="63"/>
      <c r="B199" s="66"/>
      <c r="C199" s="63"/>
      <c r="D199" s="63"/>
      <c r="E199" s="63"/>
      <c r="F199" s="63"/>
      <c r="G199" s="63"/>
      <c r="H199" s="63"/>
      <c r="I199" s="63"/>
      <c r="J199" s="63"/>
      <c r="K199" s="63"/>
      <c r="L199" s="66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5.75" customHeight="1">
      <c r="A200" s="63"/>
      <c r="B200" s="66"/>
      <c r="C200" s="63"/>
      <c r="D200" s="63"/>
      <c r="E200" s="63"/>
      <c r="F200" s="63"/>
      <c r="G200" s="63"/>
      <c r="H200" s="63"/>
      <c r="I200" s="63"/>
      <c r="J200" s="63"/>
      <c r="K200" s="63"/>
      <c r="L200" s="66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5.75" customHeight="1">
      <c r="A201" s="63"/>
      <c r="B201" s="66"/>
      <c r="C201" s="63"/>
      <c r="D201" s="63"/>
      <c r="E201" s="63"/>
      <c r="F201" s="63"/>
      <c r="G201" s="63"/>
      <c r="H201" s="63"/>
      <c r="I201" s="63"/>
      <c r="J201" s="63"/>
      <c r="K201" s="63"/>
      <c r="L201" s="66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5.75" customHeight="1">
      <c r="A202" s="63"/>
      <c r="B202" s="66"/>
      <c r="C202" s="63"/>
      <c r="D202" s="63"/>
      <c r="E202" s="63"/>
      <c r="F202" s="63"/>
      <c r="G202" s="63"/>
      <c r="H202" s="63"/>
      <c r="I202" s="63"/>
      <c r="J202" s="63"/>
      <c r="K202" s="63"/>
      <c r="L202" s="66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5.75" customHeight="1">
      <c r="A203" s="63"/>
      <c r="B203" s="66"/>
      <c r="C203" s="63"/>
      <c r="D203" s="63"/>
      <c r="E203" s="63"/>
      <c r="F203" s="63"/>
      <c r="G203" s="63"/>
      <c r="H203" s="63"/>
      <c r="I203" s="63"/>
      <c r="J203" s="63"/>
      <c r="K203" s="63"/>
      <c r="L203" s="66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5.75" customHeight="1">
      <c r="A204" s="63"/>
      <c r="B204" s="66"/>
      <c r="C204" s="63"/>
      <c r="D204" s="63"/>
      <c r="E204" s="63"/>
      <c r="F204" s="63"/>
      <c r="G204" s="63"/>
      <c r="H204" s="63"/>
      <c r="I204" s="63"/>
      <c r="J204" s="63"/>
      <c r="K204" s="63"/>
      <c r="L204" s="66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5.75" customHeight="1">
      <c r="A205" s="63"/>
      <c r="B205" s="66"/>
      <c r="C205" s="63"/>
      <c r="D205" s="63"/>
      <c r="E205" s="63"/>
      <c r="F205" s="63"/>
      <c r="G205" s="63"/>
      <c r="H205" s="63"/>
      <c r="I205" s="63"/>
      <c r="J205" s="63"/>
      <c r="K205" s="63"/>
      <c r="L205" s="66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5.75" customHeight="1">
      <c r="A206" s="63"/>
      <c r="B206" s="66"/>
      <c r="C206" s="63"/>
      <c r="D206" s="63"/>
      <c r="E206" s="63"/>
      <c r="F206" s="63"/>
      <c r="G206" s="63"/>
      <c r="H206" s="63"/>
      <c r="I206" s="63"/>
      <c r="J206" s="63"/>
      <c r="K206" s="63"/>
      <c r="L206" s="66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5.75" customHeight="1">
      <c r="A207" s="63"/>
      <c r="B207" s="66"/>
      <c r="C207" s="63"/>
      <c r="D207" s="63"/>
      <c r="E207" s="63"/>
      <c r="F207" s="63"/>
      <c r="G207" s="63"/>
      <c r="H207" s="63"/>
      <c r="I207" s="63"/>
      <c r="J207" s="63"/>
      <c r="K207" s="63"/>
      <c r="L207" s="66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5.75" customHeight="1">
      <c r="A208" s="63"/>
      <c r="B208" s="66"/>
      <c r="C208" s="63"/>
      <c r="D208" s="63"/>
      <c r="E208" s="63"/>
      <c r="F208" s="63"/>
      <c r="G208" s="63"/>
      <c r="H208" s="63"/>
      <c r="I208" s="63"/>
      <c r="J208" s="63"/>
      <c r="K208" s="63"/>
      <c r="L208" s="66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5.75" customHeight="1">
      <c r="A209" s="63"/>
      <c r="B209" s="66"/>
      <c r="C209" s="63"/>
      <c r="D209" s="63"/>
      <c r="E209" s="63"/>
      <c r="F209" s="63"/>
      <c r="G209" s="63"/>
      <c r="H209" s="63"/>
      <c r="I209" s="63"/>
      <c r="J209" s="63"/>
      <c r="K209" s="63"/>
      <c r="L209" s="66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5.75" customHeight="1">
      <c r="A210" s="63"/>
      <c r="B210" s="66"/>
      <c r="C210" s="63"/>
      <c r="D210" s="63"/>
      <c r="E210" s="63"/>
      <c r="F210" s="63"/>
      <c r="G210" s="63"/>
      <c r="H210" s="63"/>
      <c r="I210" s="63"/>
      <c r="J210" s="63"/>
      <c r="K210" s="63"/>
      <c r="L210" s="66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5.75" customHeight="1">
      <c r="A211" s="63"/>
      <c r="B211" s="66"/>
      <c r="C211" s="63"/>
      <c r="D211" s="63"/>
      <c r="E211" s="63"/>
      <c r="F211" s="63"/>
      <c r="G211" s="63"/>
      <c r="H211" s="63"/>
      <c r="I211" s="63"/>
      <c r="J211" s="63"/>
      <c r="K211" s="63"/>
      <c r="L211" s="66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5.75" customHeight="1">
      <c r="A212" s="63"/>
      <c r="B212" s="66"/>
      <c r="C212" s="63"/>
      <c r="D212" s="63"/>
      <c r="E212" s="63"/>
      <c r="F212" s="63"/>
      <c r="G212" s="63"/>
      <c r="H212" s="63"/>
      <c r="I212" s="63"/>
      <c r="J212" s="63"/>
      <c r="K212" s="63"/>
      <c r="L212" s="66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5.75" customHeight="1">
      <c r="A213" s="63"/>
      <c r="B213" s="66"/>
      <c r="C213" s="63"/>
      <c r="D213" s="63"/>
      <c r="E213" s="63"/>
      <c r="F213" s="63"/>
      <c r="G213" s="63"/>
      <c r="H213" s="63"/>
      <c r="I213" s="63"/>
      <c r="J213" s="63"/>
      <c r="K213" s="63"/>
      <c r="L213" s="66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5.75" customHeight="1">
      <c r="A214" s="63"/>
      <c r="B214" s="66"/>
      <c r="C214" s="63"/>
      <c r="D214" s="63"/>
      <c r="E214" s="63"/>
      <c r="F214" s="63"/>
      <c r="G214" s="63"/>
      <c r="H214" s="63"/>
      <c r="I214" s="63"/>
      <c r="J214" s="63"/>
      <c r="K214" s="63"/>
      <c r="L214" s="66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5.75" customHeight="1">
      <c r="A215" s="63"/>
      <c r="B215" s="66"/>
      <c r="C215" s="63"/>
      <c r="D215" s="63"/>
      <c r="E215" s="63"/>
      <c r="F215" s="63"/>
      <c r="G215" s="63"/>
      <c r="H215" s="63"/>
      <c r="I215" s="63"/>
      <c r="J215" s="63"/>
      <c r="K215" s="63"/>
      <c r="L215" s="66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5.75" customHeight="1">
      <c r="A216" s="63"/>
      <c r="B216" s="66"/>
      <c r="C216" s="63"/>
      <c r="D216" s="63"/>
      <c r="E216" s="63"/>
      <c r="F216" s="63"/>
      <c r="G216" s="63"/>
      <c r="H216" s="63"/>
      <c r="I216" s="63"/>
      <c r="J216" s="63"/>
      <c r="K216" s="63"/>
      <c r="L216" s="66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5.75" customHeight="1">
      <c r="A217" s="63"/>
      <c r="B217" s="66"/>
      <c r="C217" s="63"/>
      <c r="D217" s="63"/>
      <c r="E217" s="63"/>
      <c r="F217" s="63"/>
      <c r="G217" s="63"/>
      <c r="H217" s="63"/>
      <c r="I217" s="63"/>
      <c r="J217" s="63"/>
      <c r="K217" s="63"/>
      <c r="L217" s="66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5.75" customHeight="1">
      <c r="A218" s="63"/>
      <c r="B218" s="66"/>
      <c r="C218" s="63"/>
      <c r="D218" s="63"/>
      <c r="E218" s="63"/>
      <c r="F218" s="63"/>
      <c r="G218" s="63"/>
      <c r="H218" s="63"/>
      <c r="I218" s="63"/>
      <c r="J218" s="63"/>
      <c r="K218" s="63"/>
      <c r="L218" s="66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5.75" customHeight="1">
      <c r="A219" s="63"/>
      <c r="B219" s="66"/>
      <c r="C219" s="63"/>
      <c r="D219" s="63"/>
      <c r="E219" s="63"/>
      <c r="F219" s="63"/>
      <c r="G219" s="63"/>
      <c r="H219" s="63"/>
      <c r="I219" s="63"/>
      <c r="J219" s="63"/>
      <c r="K219" s="63"/>
      <c r="L219" s="66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5.75" customHeight="1">
      <c r="A220" s="63"/>
      <c r="B220" s="66"/>
      <c r="C220" s="63"/>
      <c r="D220" s="63"/>
      <c r="E220" s="63"/>
      <c r="F220" s="63"/>
      <c r="G220" s="63"/>
      <c r="H220" s="63"/>
      <c r="I220" s="63"/>
      <c r="J220" s="63"/>
      <c r="K220" s="63"/>
      <c r="L220" s="66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5.75" customHeight="1">
      <c r="A221" s="63"/>
      <c r="B221" s="66"/>
      <c r="C221" s="63"/>
      <c r="D221" s="63"/>
      <c r="E221" s="63"/>
      <c r="F221" s="63"/>
      <c r="G221" s="63"/>
      <c r="H221" s="63"/>
      <c r="I221" s="63"/>
      <c r="J221" s="63"/>
      <c r="K221" s="63"/>
      <c r="L221" s="66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5.75" customHeight="1">
      <c r="A222" s="63"/>
      <c r="B222" s="66"/>
      <c r="C222" s="63"/>
      <c r="D222" s="63"/>
      <c r="E222" s="63"/>
      <c r="F222" s="63"/>
      <c r="G222" s="63"/>
      <c r="H222" s="63"/>
      <c r="I222" s="63"/>
      <c r="J222" s="63"/>
      <c r="K222" s="63"/>
      <c r="L222" s="66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5.75" customHeight="1">
      <c r="A223" s="63"/>
      <c r="B223" s="66"/>
      <c r="C223" s="63"/>
      <c r="D223" s="63"/>
      <c r="E223" s="63"/>
      <c r="F223" s="63"/>
      <c r="G223" s="63"/>
      <c r="H223" s="63"/>
      <c r="I223" s="63"/>
      <c r="J223" s="63"/>
      <c r="K223" s="63"/>
      <c r="L223" s="66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5.75" customHeight="1">
      <c r="A224" s="63"/>
      <c r="B224" s="66"/>
      <c r="C224" s="63"/>
      <c r="D224" s="63"/>
      <c r="E224" s="63"/>
      <c r="F224" s="63"/>
      <c r="G224" s="63"/>
      <c r="H224" s="63"/>
      <c r="I224" s="63"/>
      <c r="J224" s="63"/>
      <c r="K224" s="63"/>
      <c r="L224" s="66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5.75" customHeight="1">
      <c r="A225" s="63"/>
      <c r="B225" s="66"/>
      <c r="C225" s="63"/>
      <c r="D225" s="63"/>
      <c r="E225" s="63"/>
      <c r="F225" s="63"/>
      <c r="G225" s="63"/>
      <c r="H225" s="63"/>
      <c r="I225" s="63"/>
      <c r="J225" s="63"/>
      <c r="K225" s="63"/>
      <c r="L225" s="66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5.75" customHeight="1">
      <c r="A226" s="63"/>
      <c r="B226" s="66"/>
      <c r="C226" s="63"/>
      <c r="D226" s="63"/>
      <c r="E226" s="63"/>
      <c r="F226" s="63"/>
      <c r="G226" s="63"/>
      <c r="H226" s="63"/>
      <c r="I226" s="63"/>
      <c r="J226" s="63"/>
      <c r="K226" s="63"/>
      <c r="L226" s="66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5.75" customHeight="1">
      <c r="A227" s="63"/>
      <c r="B227" s="66"/>
      <c r="C227" s="63"/>
      <c r="D227" s="63"/>
      <c r="E227" s="63"/>
      <c r="F227" s="63"/>
      <c r="G227" s="63"/>
      <c r="H227" s="63"/>
      <c r="I227" s="63"/>
      <c r="J227" s="63"/>
      <c r="K227" s="63"/>
      <c r="L227" s="66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5.75" customHeight="1">
      <c r="A228" s="63"/>
      <c r="B228" s="66"/>
      <c r="C228" s="63"/>
      <c r="D228" s="63"/>
      <c r="E228" s="63"/>
      <c r="F228" s="63"/>
      <c r="G228" s="63"/>
      <c r="H228" s="63"/>
      <c r="I228" s="63"/>
      <c r="J228" s="63"/>
      <c r="K228" s="63"/>
      <c r="L228" s="66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5.75" customHeight="1">
      <c r="A229" s="63"/>
      <c r="B229" s="66"/>
      <c r="C229" s="63"/>
      <c r="D229" s="63"/>
      <c r="E229" s="63"/>
      <c r="F229" s="63"/>
      <c r="G229" s="63"/>
      <c r="H229" s="63"/>
      <c r="I229" s="63"/>
      <c r="J229" s="63"/>
      <c r="K229" s="63"/>
      <c r="L229" s="66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5.75" customHeight="1">
      <c r="A230" s="63"/>
      <c r="B230" s="66"/>
      <c r="C230" s="63"/>
      <c r="D230" s="63"/>
      <c r="E230" s="63"/>
      <c r="F230" s="63"/>
      <c r="G230" s="63"/>
      <c r="H230" s="63"/>
      <c r="I230" s="63"/>
      <c r="J230" s="63"/>
      <c r="K230" s="63"/>
      <c r="L230" s="66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5.75" customHeight="1">
      <c r="A231" s="63"/>
      <c r="B231" s="66"/>
      <c r="C231" s="63"/>
      <c r="D231" s="63"/>
      <c r="E231" s="63"/>
      <c r="F231" s="63"/>
      <c r="G231" s="63"/>
      <c r="H231" s="63"/>
      <c r="I231" s="63"/>
      <c r="J231" s="63"/>
      <c r="K231" s="63"/>
      <c r="L231" s="66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5.75" customHeight="1">
      <c r="A232" s="63"/>
      <c r="B232" s="66"/>
      <c r="C232" s="63"/>
      <c r="D232" s="63"/>
      <c r="E232" s="63"/>
      <c r="F232" s="63"/>
      <c r="G232" s="63"/>
      <c r="H232" s="63"/>
      <c r="I232" s="63"/>
      <c r="J232" s="63"/>
      <c r="K232" s="63"/>
      <c r="L232" s="66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5.75" customHeight="1">
      <c r="A233" s="63"/>
      <c r="B233" s="66"/>
      <c r="C233" s="63"/>
      <c r="D233" s="63"/>
      <c r="E233" s="63"/>
      <c r="F233" s="63"/>
      <c r="G233" s="63"/>
      <c r="H233" s="63"/>
      <c r="I233" s="63"/>
      <c r="J233" s="63"/>
      <c r="K233" s="63"/>
      <c r="L233" s="66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5.75" customHeight="1">
      <c r="A234" s="63"/>
      <c r="B234" s="66"/>
      <c r="C234" s="63"/>
      <c r="D234" s="63"/>
      <c r="E234" s="63"/>
      <c r="F234" s="63"/>
      <c r="G234" s="63"/>
      <c r="H234" s="63"/>
      <c r="I234" s="63"/>
      <c r="J234" s="63"/>
      <c r="K234" s="63"/>
      <c r="L234" s="66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5.75" customHeight="1">
      <c r="A235" s="63"/>
      <c r="B235" s="66"/>
      <c r="C235" s="63"/>
      <c r="D235" s="63"/>
      <c r="E235" s="63"/>
      <c r="F235" s="63"/>
      <c r="G235" s="63"/>
      <c r="H235" s="63"/>
      <c r="I235" s="63"/>
      <c r="J235" s="63"/>
      <c r="K235" s="63"/>
      <c r="L235" s="66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5.75" customHeight="1">
      <c r="A236" s="63"/>
      <c r="B236" s="66"/>
      <c r="C236" s="63"/>
      <c r="D236" s="63"/>
      <c r="E236" s="63"/>
      <c r="F236" s="63"/>
      <c r="G236" s="63"/>
      <c r="H236" s="63"/>
      <c r="I236" s="63"/>
      <c r="J236" s="63"/>
      <c r="K236" s="63"/>
      <c r="L236" s="66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5.75" customHeight="1">
      <c r="A237" s="63"/>
      <c r="B237" s="66"/>
      <c r="C237" s="63"/>
      <c r="D237" s="63"/>
      <c r="E237" s="63"/>
      <c r="F237" s="63"/>
      <c r="G237" s="63"/>
      <c r="H237" s="63"/>
      <c r="I237" s="63"/>
      <c r="J237" s="63"/>
      <c r="K237" s="63"/>
      <c r="L237" s="66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5.75" customHeight="1">
      <c r="A238" s="63"/>
      <c r="B238" s="66"/>
      <c r="C238" s="63"/>
      <c r="D238" s="63"/>
      <c r="E238" s="63"/>
      <c r="F238" s="63"/>
      <c r="G238" s="63"/>
      <c r="H238" s="63"/>
      <c r="I238" s="63"/>
      <c r="J238" s="63"/>
      <c r="K238" s="63"/>
      <c r="L238" s="66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5.75" customHeight="1">
      <c r="A239" s="63"/>
      <c r="B239" s="66"/>
      <c r="C239" s="63"/>
      <c r="D239" s="63"/>
      <c r="E239" s="63"/>
      <c r="F239" s="63"/>
      <c r="G239" s="63"/>
      <c r="H239" s="63"/>
      <c r="I239" s="63"/>
      <c r="J239" s="63"/>
      <c r="K239" s="63"/>
      <c r="L239" s="66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5.75" customHeight="1">
      <c r="A240" s="63"/>
      <c r="B240" s="66"/>
      <c r="C240" s="63"/>
      <c r="D240" s="63"/>
      <c r="E240" s="63"/>
      <c r="F240" s="63"/>
      <c r="G240" s="63"/>
      <c r="H240" s="63"/>
      <c r="I240" s="63"/>
      <c r="J240" s="63"/>
      <c r="K240" s="63"/>
      <c r="L240" s="66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5.75" customHeight="1">
      <c r="A241" s="63"/>
      <c r="B241" s="66"/>
      <c r="C241" s="63"/>
      <c r="D241" s="63"/>
      <c r="E241" s="63"/>
      <c r="F241" s="63"/>
      <c r="G241" s="63"/>
      <c r="H241" s="63"/>
      <c r="I241" s="63"/>
      <c r="J241" s="63"/>
      <c r="K241" s="63"/>
      <c r="L241" s="66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5.75" customHeight="1">
      <c r="A242" s="63"/>
      <c r="B242" s="66"/>
      <c r="C242" s="63"/>
      <c r="D242" s="63"/>
      <c r="E242" s="63"/>
      <c r="F242" s="63"/>
      <c r="G242" s="63"/>
      <c r="H242" s="63"/>
      <c r="I242" s="63"/>
      <c r="J242" s="63"/>
      <c r="K242" s="63"/>
      <c r="L242" s="66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5.75" customHeight="1">
      <c r="A243" s="63"/>
      <c r="B243" s="66"/>
      <c r="C243" s="63"/>
      <c r="D243" s="63"/>
      <c r="E243" s="63"/>
      <c r="F243" s="63"/>
      <c r="G243" s="63"/>
      <c r="H243" s="63"/>
      <c r="I243" s="63"/>
      <c r="J243" s="63"/>
      <c r="K243" s="63"/>
      <c r="L243" s="66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5.75" customHeight="1">
      <c r="A244" s="63"/>
      <c r="B244" s="66"/>
      <c r="C244" s="63"/>
      <c r="D244" s="63"/>
      <c r="E244" s="63"/>
      <c r="F244" s="63"/>
      <c r="G244" s="63"/>
      <c r="H244" s="63"/>
      <c r="I244" s="63"/>
      <c r="J244" s="63"/>
      <c r="K244" s="63"/>
      <c r="L244" s="66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5.75" customHeight="1">
      <c r="A245" s="63"/>
      <c r="B245" s="66"/>
      <c r="C245" s="63"/>
      <c r="D245" s="63"/>
      <c r="E245" s="63"/>
      <c r="F245" s="63"/>
      <c r="G245" s="63"/>
      <c r="H245" s="63"/>
      <c r="I245" s="63"/>
      <c r="J245" s="63"/>
      <c r="K245" s="63"/>
      <c r="L245" s="66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5.75" customHeight="1">
      <c r="A246" s="63"/>
      <c r="B246" s="66"/>
      <c r="C246" s="63"/>
      <c r="D246" s="63"/>
      <c r="E246" s="63"/>
      <c r="F246" s="63"/>
      <c r="G246" s="63"/>
      <c r="H246" s="63"/>
      <c r="I246" s="63"/>
      <c r="J246" s="63"/>
      <c r="K246" s="63"/>
      <c r="L246" s="66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5.75" customHeight="1">
      <c r="A247" s="63"/>
      <c r="B247" s="66"/>
      <c r="C247" s="63"/>
      <c r="D247" s="63"/>
      <c r="E247" s="63"/>
      <c r="F247" s="63"/>
      <c r="G247" s="63"/>
      <c r="H247" s="63"/>
      <c r="I247" s="63"/>
      <c r="J247" s="63"/>
      <c r="K247" s="63"/>
      <c r="L247" s="66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5.75" customHeight="1">
      <c r="A248" s="63"/>
      <c r="B248" s="66"/>
      <c r="C248" s="63"/>
      <c r="D248" s="63"/>
      <c r="E248" s="63"/>
      <c r="F248" s="63"/>
      <c r="G248" s="63"/>
      <c r="H248" s="63"/>
      <c r="I248" s="63"/>
      <c r="J248" s="63"/>
      <c r="K248" s="63"/>
      <c r="L248" s="66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5.75" customHeight="1">
      <c r="A249" s="63"/>
      <c r="B249" s="66"/>
      <c r="C249" s="63"/>
      <c r="D249" s="63"/>
      <c r="E249" s="63"/>
      <c r="F249" s="63"/>
      <c r="G249" s="63"/>
      <c r="H249" s="63"/>
      <c r="I249" s="63"/>
      <c r="J249" s="63"/>
      <c r="K249" s="63"/>
      <c r="L249" s="66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5.75" customHeight="1">
      <c r="A250" s="63"/>
      <c r="B250" s="66"/>
      <c r="C250" s="63"/>
      <c r="D250" s="63"/>
      <c r="E250" s="63"/>
      <c r="F250" s="63"/>
      <c r="G250" s="63"/>
      <c r="H250" s="63"/>
      <c r="I250" s="63"/>
      <c r="J250" s="63"/>
      <c r="K250" s="63"/>
      <c r="L250" s="66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5.75" customHeight="1">
      <c r="A251" s="63"/>
      <c r="B251" s="66"/>
      <c r="C251" s="63"/>
      <c r="D251" s="63"/>
      <c r="E251" s="63"/>
      <c r="F251" s="63"/>
      <c r="G251" s="63"/>
      <c r="H251" s="63"/>
      <c r="I251" s="63"/>
      <c r="J251" s="63"/>
      <c r="K251" s="63"/>
      <c r="L251" s="66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5.75" customHeight="1">
      <c r="A252" s="63"/>
      <c r="B252" s="66"/>
      <c r="C252" s="63"/>
      <c r="D252" s="63"/>
      <c r="E252" s="63"/>
      <c r="F252" s="63"/>
      <c r="G252" s="63"/>
      <c r="H252" s="63"/>
      <c r="I252" s="63"/>
      <c r="J252" s="63"/>
      <c r="K252" s="63"/>
      <c r="L252" s="66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5.75" customHeight="1">
      <c r="A253" s="63"/>
      <c r="B253" s="66"/>
      <c r="C253" s="63"/>
      <c r="D253" s="63"/>
      <c r="E253" s="63"/>
      <c r="F253" s="63"/>
      <c r="G253" s="63"/>
      <c r="H253" s="63"/>
      <c r="I253" s="63"/>
      <c r="J253" s="63"/>
      <c r="K253" s="63"/>
      <c r="L253" s="66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5.75" customHeight="1">
      <c r="A254" s="63"/>
      <c r="B254" s="66"/>
      <c r="C254" s="63"/>
      <c r="D254" s="63"/>
      <c r="E254" s="63"/>
      <c r="F254" s="63"/>
      <c r="G254" s="63"/>
      <c r="H254" s="63"/>
      <c r="I254" s="63"/>
      <c r="J254" s="63"/>
      <c r="K254" s="63"/>
      <c r="L254" s="66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5.75" customHeight="1">
      <c r="A255" s="63"/>
      <c r="B255" s="66"/>
      <c r="C255" s="63"/>
      <c r="D255" s="63"/>
      <c r="E255" s="63"/>
      <c r="F255" s="63"/>
      <c r="G255" s="63"/>
      <c r="H255" s="63"/>
      <c r="I255" s="63"/>
      <c r="J255" s="63"/>
      <c r="K255" s="63"/>
      <c r="L255" s="66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5.75" customHeight="1">
      <c r="A256" s="63"/>
      <c r="B256" s="66"/>
      <c r="C256" s="63"/>
      <c r="D256" s="63"/>
      <c r="E256" s="63"/>
      <c r="F256" s="63"/>
      <c r="G256" s="63"/>
      <c r="H256" s="63"/>
      <c r="I256" s="63"/>
      <c r="J256" s="63"/>
      <c r="K256" s="63"/>
      <c r="L256" s="66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5.75" customHeight="1">
      <c r="A257" s="63"/>
      <c r="B257" s="66"/>
      <c r="C257" s="63"/>
      <c r="D257" s="63"/>
      <c r="E257" s="63"/>
      <c r="F257" s="63"/>
      <c r="G257" s="63"/>
      <c r="H257" s="63"/>
      <c r="I257" s="63"/>
      <c r="J257" s="63"/>
      <c r="K257" s="63"/>
      <c r="L257" s="66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5.75" customHeight="1">
      <c r="A258" s="63"/>
      <c r="B258" s="66"/>
      <c r="C258" s="63"/>
      <c r="D258" s="63"/>
      <c r="E258" s="63"/>
      <c r="F258" s="63"/>
      <c r="G258" s="63"/>
      <c r="H258" s="63"/>
      <c r="I258" s="63"/>
      <c r="J258" s="63"/>
      <c r="K258" s="63"/>
      <c r="L258" s="66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5.75" customHeight="1">
      <c r="A259" s="63"/>
      <c r="B259" s="66"/>
      <c r="C259" s="63"/>
      <c r="D259" s="63"/>
      <c r="E259" s="63"/>
      <c r="F259" s="63"/>
      <c r="G259" s="63"/>
      <c r="H259" s="63"/>
      <c r="I259" s="63"/>
      <c r="J259" s="63"/>
      <c r="K259" s="63"/>
      <c r="L259" s="66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5.75" customHeight="1">
      <c r="A260" s="63"/>
      <c r="B260" s="66"/>
      <c r="C260" s="63"/>
      <c r="D260" s="63"/>
      <c r="E260" s="63"/>
      <c r="F260" s="63"/>
      <c r="G260" s="63"/>
      <c r="H260" s="63"/>
      <c r="I260" s="63"/>
      <c r="J260" s="63"/>
      <c r="K260" s="63"/>
      <c r="L260" s="66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5.75" customHeight="1">
      <c r="A261" s="63"/>
      <c r="B261" s="66"/>
      <c r="C261" s="63"/>
      <c r="D261" s="63"/>
      <c r="E261" s="63"/>
      <c r="F261" s="63"/>
      <c r="G261" s="63"/>
      <c r="H261" s="63"/>
      <c r="I261" s="63"/>
      <c r="J261" s="63"/>
      <c r="K261" s="63"/>
      <c r="L261" s="66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5.75" customHeight="1">
      <c r="A262" s="63"/>
      <c r="B262" s="66"/>
      <c r="C262" s="63"/>
      <c r="D262" s="63"/>
      <c r="E262" s="63"/>
      <c r="F262" s="63"/>
      <c r="G262" s="63"/>
      <c r="H262" s="63"/>
      <c r="I262" s="63"/>
      <c r="J262" s="63"/>
      <c r="K262" s="63"/>
      <c r="L262" s="66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5.75" customHeight="1">
      <c r="A263" s="63"/>
      <c r="B263" s="66"/>
      <c r="C263" s="63"/>
      <c r="D263" s="63"/>
      <c r="E263" s="63"/>
      <c r="F263" s="63"/>
      <c r="G263" s="63"/>
      <c r="H263" s="63"/>
      <c r="I263" s="63"/>
      <c r="J263" s="63"/>
      <c r="K263" s="63"/>
      <c r="L263" s="66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5.75" customHeight="1">
      <c r="A264" s="63"/>
      <c r="B264" s="66"/>
      <c r="C264" s="63"/>
      <c r="D264" s="63"/>
      <c r="E264" s="63"/>
      <c r="F264" s="63"/>
      <c r="G264" s="63"/>
      <c r="H264" s="63"/>
      <c r="I264" s="63"/>
      <c r="J264" s="63"/>
      <c r="K264" s="63"/>
      <c r="L264" s="66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5.75" customHeight="1">
      <c r="A265" s="63"/>
      <c r="B265" s="66"/>
      <c r="C265" s="63"/>
      <c r="D265" s="63"/>
      <c r="E265" s="63"/>
      <c r="F265" s="63"/>
      <c r="G265" s="63"/>
      <c r="H265" s="63"/>
      <c r="I265" s="63"/>
      <c r="J265" s="63"/>
      <c r="K265" s="63"/>
      <c r="L265" s="66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5.75" customHeight="1">
      <c r="A266" s="63"/>
      <c r="B266" s="66"/>
      <c r="C266" s="63"/>
      <c r="D266" s="63"/>
      <c r="E266" s="63"/>
      <c r="F266" s="63"/>
      <c r="G266" s="63"/>
      <c r="H266" s="63"/>
      <c r="I266" s="63"/>
      <c r="J266" s="63"/>
      <c r="K266" s="63"/>
      <c r="L266" s="66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5.75" customHeight="1">
      <c r="A267" s="63"/>
      <c r="B267" s="66"/>
      <c r="C267" s="63"/>
      <c r="D267" s="63"/>
      <c r="E267" s="63"/>
      <c r="F267" s="63"/>
      <c r="G267" s="63"/>
      <c r="H267" s="63"/>
      <c r="I267" s="63"/>
      <c r="J267" s="63"/>
      <c r="K267" s="63"/>
      <c r="L267" s="66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5.75" customHeight="1">
      <c r="A268" s="63"/>
      <c r="B268" s="66"/>
      <c r="C268" s="63"/>
      <c r="D268" s="63"/>
      <c r="E268" s="63"/>
      <c r="F268" s="63"/>
      <c r="G268" s="63"/>
      <c r="H268" s="63"/>
      <c r="I268" s="63"/>
      <c r="J268" s="63"/>
      <c r="K268" s="63"/>
      <c r="L268" s="66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5.75" customHeight="1">
      <c r="A269" s="63"/>
      <c r="B269" s="66"/>
      <c r="C269" s="63"/>
      <c r="D269" s="63"/>
      <c r="E269" s="63"/>
      <c r="F269" s="63"/>
      <c r="G269" s="63"/>
      <c r="H269" s="63"/>
      <c r="I269" s="63"/>
      <c r="J269" s="63"/>
      <c r="K269" s="63"/>
      <c r="L269" s="66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5.75" customHeight="1">
      <c r="A270" s="63"/>
      <c r="B270" s="66"/>
      <c r="C270" s="63"/>
      <c r="D270" s="63"/>
      <c r="E270" s="63"/>
      <c r="F270" s="63"/>
      <c r="G270" s="63"/>
      <c r="H270" s="63"/>
      <c r="I270" s="63"/>
      <c r="J270" s="63"/>
      <c r="K270" s="63"/>
      <c r="L270" s="66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5.75" customHeight="1">
      <c r="A271" s="63"/>
      <c r="B271" s="66"/>
      <c r="C271" s="63"/>
      <c r="D271" s="63"/>
      <c r="E271" s="63"/>
      <c r="F271" s="63"/>
      <c r="G271" s="63"/>
      <c r="H271" s="63"/>
      <c r="I271" s="63"/>
      <c r="J271" s="63"/>
      <c r="K271" s="63"/>
      <c r="L271" s="66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5.75" customHeight="1">
      <c r="A272" s="63"/>
      <c r="B272" s="66"/>
      <c r="C272" s="63"/>
      <c r="D272" s="63"/>
      <c r="E272" s="63"/>
      <c r="F272" s="63"/>
      <c r="G272" s="63"/>
      <c r="H272" s="63"/>
      <c r="I272" s="63"/>
      <c r="J272" s="63"/>
      <c r="K272" s="63"/>
      <c r="L272" s="66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5.75" customHeight="1">
      <c r="A273" s="63"/>
      <c r="B273" s="66"/>
      <c r="C273" s="63"/>
      <c r="D273" s="63"/>
      <c r="E273" s="63"/>
      <c r="F273" s="63"/>
      <c r="G273" s="63"/>
      <c r="H273" s="63"/>
      <c r="I273" s="63"/>
      <c r="J273" s="63"/>
      <c r="K273" s="63"/>
      <c r="L273" s="66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5.75" customHeight="1">
      <c r="A274" s="63"/>
      <c r="B274" s="66"/>
      <c r="C274" s="63"/>
      <c r="D274" s="63"/>
      <c r="E274" s="63"/>
      <c r="F274" s="63"/>
      <c r="G274" s="63"/>
      <c r="H274" s="63"/>
      <c r="I274" s="63"/>
      <c r="J274" s="63"/>
      <c r="K274" s="63"/>
      <c r="L274" s="66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5.75" customHeight="1">
      <c r="A275" s="63"/>
      <c r="B275" s="66"/>
      <c r="C275" s="63"/>
      <c r="D275" s="63"/>
      <c r="E275" s="63"/>
      <c r="F275" s="63"/>
      <c r="G275" s="63"/>
      <c r="H275" s="63"/>
      <c r="I275" s="63"/>
      <c r="J275" s="63"/>
      <c r="K275" s="63"/>
      <c r="L275" s="66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5.75" customHeight="1">
      <c r="A276" s="63"/>
      <c r="B276" s="66"/>
      <c r="C276" s="63"/>
      <c r="D276" s="63"/>
      <c r="E276" s="63"/>
      <c r="F276" s="63"/>
      <c r="G276" s="63"/>
      <c r="H276" s="63"/>
      <c r="I276" s="63"/>
      <c r="J276" s="63"/>
      <c r="K276" s="63"/>
      <c r="L276" s="66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5.75" customHeight="1">
      <c r="A277" s="63"/>
      <c r="B277" s="66"/>
      <c r="C277" s="63"/>
      <c r="D277" s="63"/>
      <c r="E277" s="63"/>
      <c r="F277" s="63"/>
      <c r="G277" s="63"/>
      <c r="H277" s="63"/>
      <c r="I277" s="63"/>
      <c r="J277" s="63"/>
      <c r="K277" s="63"/>
      <c r="L277" s="66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5.75" customHeight="1">
      <c r="A278" s="63"/>
      <c r="B278" s="66"/>
      <c r="C278" s="63"/>
      <c r="D278" s="63"/>
      <c r="E278" s="63"/>
      <c r="F278" s="63"/>
      <c r="G278" s="63"/>
      <c r="H278" s="63"/>
      <c r="I278" s="63"/>
      <c r="J278" s="63"/>
      <c r="K278" s="63"/>
      <c r="L278" s="66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5.75" customHeight="1">
      <c r="A279" s="63"/>
      <c r="B279" s="66"/>
      <c r="C279" s="63"/>
      <c r="D279" s="63"/>
      <c r="E279" s="63"/>
      <c r="F279" s="63"/>
      <c r="G279" s="63"/>
      <c r="H279" s="63"/>
      <c r="I279" s="63"/>
      <c r="J279" s="63"/>
      <c r="K279" s="63"/>
      <c r="L279" s="66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5.75" customHeight="1">
      <c r="A280" s="63"/>
      <c r="B280" s="66"/>
      <c r="C280" s="63"/>
      <c r="D280" s="63"/>
      <c r="E280" s="63"/>
      <c r="F280" s="63"/>
      <c r="G280" s="63"/>
      <c r="H280" s="63"/>
      <c r="I280" s="63"/>
      <c r="J280" s="63"/>
      <c r="K280" s="63"/>
      <c r="L280" s="66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5.75" customHeight="1">
      <c r="A281" s="63"/>
      <c r="B281" s="66"/>
      <c r="C281" s="63"/>
      <c r="D281" s="63"/>
      <c r="E281" s="63"/>
      <c r="F281" s="63"/>
      <c r="G281" s="63"/>
      <c r="H281" s="63"/>
      <c r="I281" s="63"/>
      <c r="J281" s="63"/>
      <c r="K281" s="63"/>
      <c r="L281" s="66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5.75" customHeight="1">
      <c r="A282" s="63"/>
      <c r="B282" s="66"/>
      <c r="C282" s="63"/>
      <c r="D282" s="63"/>
      <c r="E282" s="63"/>
      <c r="F282" s="63"/>
      <c r="G282" s="63"/>
      <c r="H282" s="63"/>
      <c r="I282" s="63"/>
      <c r="J282" s="63"/>
      <c r="K282" s="63"/>
      <c r="L282" s="66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5.75" customHeight="1">
      <c r="A283" s="63"/>
      <c r="B283" s="66"/>
      <c r="C283" s="63"/>
      <c r="D283" s="63"/>
      <c r="E283" s="63"/>
      <c r="F283" s="63"/>
      <c r="G283" s="63"/>
      <c r="H283" s="63"/>
      <c r="I283" s="63"/>
      <c r="J283" s="63"/>
      <c r="K283" s="63"/>
      <c r="L283" s="66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5.75" customHeight="1">
      <c r="A284" s="63"/>
      <c r="B284" s="66"/>
      <c r="C284" s="63"/>
      <c r="D284" s="63"/>
      <c r="E284" s="63"/>
      <c r="F284" s="63"/>
      <c r="G284" s="63"/>
      <c r="H284" s="63"/>
      <c r="I284" s="63"/>
      <c r="J284" s="63"/>
      <c r="K284" s="63"/>
      <c r="L284" s="66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5.75" customHeight="1">
      <c r="A285" s="63"/>
      <c r="B285" s="66"/>
      <c r="C285" s="63"/>
      <c r="D285" s="63"/>
      <c r="E285" s="63"/>
      <c r="F285" s="63"/>
      <c r="G285" s="63"/>
      <c r="H285" s="63"/>
      <c r="I285" s="63"/>
      <c r="J285" s="63"/>
      <c r="K285" s="63"/>
      <c r="L285" s="66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5.75" customHeight="1">
      <c r="A286" s="63"/>
      <c r="B286" s="66"/>
      <c r="C286" s="63"/>
      <c r="D286" s="63"/>
      <c r="E286" s="63"/>
      <c r="F286" s="63"/>
      <c r="G286" s="63"/>
      <c r="H286" s="63"/>
      <c r="I286" s="63"/>
      <c r="J286" s="63"/>
      <c r="K286" s="63"/>
      <c r="L286" s="66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5.75" customHeight="1">
      <c r="A287" s="63"/>
      <c r="B287" s="66"/>
      <c r="C287" s="63"/>
      <c r="D287" s="63"/>
      <c r="E287" s="63"/>
      <c r="F287" s="63"/>
      <c r="G287" s="63"/>
      <c r="H287" s="63"/>
      <c r="I287" s="63"/>
      <c r="J287" s="63"/>
      <c r="K287" s="63"/>
      <c r="L287" s="66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5.75" customHeight="1">
      <c r="A288" s="63"/>
      <c r="B288" s="66"/>
      <c r="C288" s="63"/>
      <c r="D288" s="63"/>
      <c r="E288" s="63"/>
      <c r="F288" s="63"/>
      <c r="G288" s="63"/>
      <c r="H288" s="63"/>
      <c r="I288" s="63"/>
      <c r="J288" s="63"/>
      <c r="K288" s="63"/>
      <c r="L288" s="66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5.75" customHeight="1">
      <c r="A289" s="63"/>
      <c r="B289" s="66"/>
      <c r="C289" s="63"/>
      <c r="D289" s="63"/>
      <c r="E289" s="63"/>
      <c r="F289" s="63"/>
      <c r="G289" s="63"/>
      <c r="H289" s="63"/>
      <c r="I289" s="63"/>
      <c r="J289" s="63"/>
      <c r="K289" s="63"/>
      <c r="L289" s="66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5.75" customHeight="1">
      <c r="A290" s="63"/>
      <c r="B290" s="66"/>
      <c r="C290" s="63"/>
      <c r="D290" s="63"/>
      <c r="E290" s="63"/>
      <c r="F290" s="63"/>
      <c r="G290" s="63"/>
      <c r="H290" s="63"/>
      <c r="I290" s="63"/>
      <c r="J290" s="63"/>
      <c r="K290" s="63"/>
      <c r="L290" s="66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5.75" customHeight="1">
      <c r="A291" s="63"/>
      <c r="B291" s="66"/>
      <c r="C291" s="63"/>
      <c r="D291" s="63"/>
      <c r="E291" s="63"/>
      <c r="F291" s="63"/>
      <c r="G291" s="63"/>
      <c r="H291" s="63"/>
      <c r="I291" s="63"/>
      <c r="J291" s="63"/>
      <c r="K291" s="63"/>
      <c r="L291" s="66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5.75" customHeight="1">
      <c r="A292" s="63"/>
      <c r="B292" s="66"/>
      <c r="C292" s="63"/>
      <c r="D292" s="63"/>
      <c r="E292" s="63"/>
      <c r="F292" s="63"/>
      <c r="G292" s="63"/>
      <c r="H292" s="63"/>
      <c r="I292" s="63"/>
      <c r="J292" s="63"/>
      <c r="K292" s="63"/>
      <c r="L292" s="66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5.75" customHeight="1">
      <c r="A293" s="63"/>
      <c r="B293" s="66"/>
      <c r="C293" s="63"/>
      <c r="D293" s="63"/>
      <c r="E293" s="63"/>
      <c r="F293" s="63"/>
      <c r="G293" s="63"/>
      <c r="H293" s="63"/>
      <c r="I293" s="63"/>
      <c r="J293" s="63"/>
      <c r="K293" s="63"/>
      <c r="L293" s="66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5.75" customHeight="1">
      <c r="A294" s="63"/>
      <c r="B294" s="66"/>
      <c r="C294" s="63"/>
      <c r="D294" s="63"/>
      <c r="E294" s="63"/>
      <c r="F294" s="63"/>
      <c r="G294" s="63"/>
      <c r="H294" s="63"/>
      <c r="I294" s="63"/>
      <c r="J294" s="63"/>
      <c r="K294" s="63"/>
      <c r="L294" s="66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5.75" customHeight="1">
      <c r="A295" s="63"/>
      <c r="B295" s="66"/>
      <c r="C295" s="63"/>
      <c r="D295" s="63"/>
      <c r="E295" s="63"/>
      <c r="F295" s="63"/>
      <c r="G295" s="63"/>
      <c r="H295" s="63"/>
      <c r="I295" s="63"/>
      <c r="J295" s="63"/>
      <c r="K295" s="63"/>
      <c r="L295" s="66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5.75" customHeight="1">
      <c r="A296" s="63"/>
      <c r="B296" s="66"/>
      <c r="C296" s="63"/>
      <c r="D296" s="63"/>
      <c r="E296" s="63"/>
      <c r="F296" s="63"/>
      <c r="G296" s="63"/>
      <c r="H296" s="63"/>
      <c r="I296" s="63"/>
      <c r="J296" s="63"/>
      <c r="K296" s="63"/>
      <c r="L296" s="66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5.75" customHeight="1">
      <c r="A297" s="63"/>
      <c r="B297" s="66"/>
      <c r="C297" s="63"/>
      <c r="D297" s="63"/>
      <c r="E297" s="63"/>
      <c r="F297" s="63"/>
      <c r="G297" s="63"/>
      <c r="H297" s="63"/>
      <c r="I297" s="63"/>
      <c r="J297" s="63"/>
      <c r="K297" s="63"/>
      <c r="L297" s="66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5.75" customHeight="1">
      <c r="A298" s="63"/>
      <c r="B298" s="66"/>
      <c r="C298" s="63"/>
      <c r="D298" s="63"/>
      <c r="E298" s="63"/>
      <c r="F298" s="63"/>
      <c r="G298" s="63"/>
      <c r="H298" s="63"/>
      <c r="I298" s="63"/>
      <c r="J298" s="63"/>
      <c r="K298" s="63"/>
      <c r="L298" s="66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5.75" customHeight="1">
      <c r="A299" s="63"/>
      <c r="B299" s="66"/>
      <c r="C299" s="63"/>
      <c r="D299" s="63"/>
      <c r="E299" s="63"/>
      <c r="F299" s="63"/>
      <c r="G299" s="63"/>
      <c r="H299" s="63"/>
      <c r="I299" s="63"/>
      <c r="J299" s="63"/>
      <c r="K299" s="63"/>
      <c r="L299" s="66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5.75" customHeight="1">
      <c r="A300" s="63"/>
      <c r="B300" s="66"/>
      <c r="C300" s="63"/>
      <c r="D300" s="63"/>
      <c r="E300" s="63"/>
      <c r="F300" s="63"/>
      <c r="G300" s="63"/>
      <c r="H300" s="63"/>
      <c r="I300" s="63"/>
      <c r="J300" s="63"/>
      <c r="K300" s="63"/>
      <c r="L300" s="66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5.75" customHeight="1">
      <c r="A301" s="63"/>
      <c r="B301" s="66"/>
      <c r="C301" s="63"/>
      <c r="D301" s="63"/>
      <c r="E301" s="63"/>
      <c r="F301" s="63"/>
      <c r="G301" s="63"/>
      <c r="H301" s="63"/>
      <c r="I301" s="63"/>
      <c r="J301" s="63"/>
      <c r="K301" s="63"/>
      <c r="L301" s="66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5.75" customHeight="1">
      <c r="A302" s="63"/>
      <c r="B302" s="66"/>
      <c r="C302" s="63"/>
      <c r="D302" s="63"/>
      <c r="E302" s="63"/>
      <c r="F302" s="63"/>
      <c r="G302" s="63"/>
      <c r="H302" s="63"/>
      <c r="I302" s="63"/>
      <c r="J302" s="63"/>
      <c r="K302" s="63"/>
      <c r="L302" s="66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5.75" customHeight="1">
      <c r="A303" s="63"/>
      <c r="B303" s="66"/>
      <c r="C303" s="63"/>
      <c r="D303" s="63"/>
      <c r="E303" s="63"/>
      <c r="F303" s="63"/>
      <c r="G303" s="63"/>
      <c r="H303" s="63"/>
      <c r="I303" s="63"/>
      <c r="J303" s="63"/>
      <c r="K303" s="63"/>
      <c r="L303" s="66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5.75" customHeight="1">
      <c r="A304" s="63"/>
      <c r="B304" s="66"/>
      <c r="C304" s="63"/>
      <c r="D304" s="63"/>
      <c r="E304" s="63"/>
      <c r="F304" s="63"/>
      <c r="G304" s="63"/>
      <c r="H304" s="63"/>
      <c r="I304" s="63"/>
      <c r="J304" s="63"/>
      <c r="K304" s="63"/>
      <c r="L304" s="66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5.75" customHeight="1">
      <c r="A305" s="63"/>
      <c r="B305" s="66"/>
      <c r="C305" s="63"/>
      <c r="D305" s="63"/>
      <c r="E305" s="63"/>
      <c r="F305" s="63"/>
      <c r="G305" s="63"/>
      <c r="H305" s="63"/>
      <c r="I305" s="63"/>
      <c r="J305" s="63"/>
      <c r="K305" s="63"/>
      <c r="L305" s="66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5.75" customHeight="1">
      <c r="A306" s="63"/>
      <c r="B306" s="66"/>
      <c r="C306" s="63"/>
      <c r="D306" s="63"/>
      <c r="E306" s="63"/>
      <c r="F306" s="63"/>
      <c r="G306" s="63"/>
      <c r="H306" s="63"/>
      <c r="I306" s="63"/>
      <c r="J306" s="63"/>
      <c r="K306" s="63"/>
      <c r="L306" s="66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5.75" customHeight="1">
      <c r="A307" s="63"/>
      <c r="B307" s="66"/>
      <c r="C307" s="63"/>
      <c r="D307" s="63"/>
      <c r="E307" s="63"/>
      <c r="F307" s="63"/>
      <c r="G307" s="63"/>
      <c r="H307" s="63"/>
      <c r="I307" s="63"/>
      <c r="J307" s="63"/>
      <c r="K307" s="63"/>
      <c r="L307" s="66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5.75" customHeight="1">
      <c r="A308" s="63"/>
      <c r="B308" s="66"/>
      <c r="C308" s="63"/>
      <c r="D308" s="63"/>
      <c r="E308" s="63"/>
      <c r="F308" s="63"/>
      <c r="G308" s="63"/>
      <c r="H308" s="63"/>
      <c r="I308" s="63"/>
      <c r="J308" s="63"/>
      <c r="K308" s="63"/>
      <c r="L308" s="66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5.75" customHeight="1">
      <c r="A309" s="63"/>
      <c r="B309" s="66"/>
      <c r="C309" s="63"/>
      <c r="D309" s="63"/>
      <c r="E309" s="63"/>
      <c r="F309" s="63"/>
      <c r="G309" s="63"/>
      <c r="H309" s="63"/>
      <c r="I309" s="63"/>
      <c r="J309" s="63"/>
      <c r="K309" s="63"/>
      <c r="L309" s="66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5.75" customHeight="1">
      <c r="A310" s="63"/>
      <c r="B310" s="66"/>
      <c r="C310" s="63"/>
      <c r="D310" s="63"/>
      <c r="E310" s="63"/>
      <c r="F310" s="63"/>
      <c r="G310" s="63"/>
      <c r="H310" s="63"/>
      <c r="I310" s="63"/>
      <c r="J310" s="63"/>
      <c r="K310" s="63"/>
      <c r="L310" s="66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5.75" customHeight="1">
      <c r="A311" s="63"/>
      <c r="B311" s="66"/>
      <c r="C311" s="63"/>
      <c r="D311" s="63"/>
      <c r="E311" s="63"/>
      <c r="F311" s="63"/>
      <c r="G311" s="63"/>
      <c r="H311" s="63"/>
      <c r="I311" s="63"/>
      <c r="J311" s="63"/>
      <c r="K311" s="63"/>
      <c r="L311" s="66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5.75" customHeight="1">
      <c r="A312" s="63"/>
      <c r="B312" s="66"/>
      <c r="C312" s="63"/>
      <c r="D312" s="63"/>
      <c r="E312" s="63"/>
      <c r="F312" s="63"/>
      <c r="G312" s="63"/>
      <c r="H312" s="63"/>
      <c r="I312" s="63"/>
      <c r="J312" s="63"/>
      <c r="K312" s="63"/>
      <c r="L312" s="66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5.75" customHeight="1">
      <c r="A313" s="63"/>
      <c r="B313" s="66"/>
      <c r="C313" s="63"/>
      <c r="D313" s="63"/>
      <c r="E313" s="63"/>
      <c r="F313" s="63"/>
      <c r="G313" s="63"/>
      <c r="H313" s="63"/>
      <c r="I313" s="63"/>
      <c r="J313" s="63"/>
      <c r="K313" s="63"/>
      <c r="L313" s="66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5.75" customHeight="1">
      <c r="A314" s="63"/>
      <c r="B314" s="66"/>
      <c r="C314" s="63"/>
      <c r="D314" s="63"/>
      <c r="E314" s="63"/>
      <c r="F314" s="63"/>
      <c r="G314" s="63"/>
      <c r="H314" s="63"/>
      <c r="I314" s="63"/>
      <c r="J314" s="63"/>
      <c r="K314" s="63"/>
      <c r="L314" s="66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5.75" customHeight="1">
      <c r="A315" s="63"/>
      <c r="B315" s="66"/>
      <c r="C315" s="63"/>
      <c r="D315" s="63"/>
      <c r="E315" s="63"/>
      <c r="F315" s="63"/>
      <c r="G315" s="63"/>
      <c r="H315" s="63"/>
      <c r="I315" s="63"/>
      <c r="J315" s="63"/>
      <c r="K315" s="63"/>
      <c r="L315" s="66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5.75" customHeight="1">
      <c r="A316" s="63"/>
      <c r="B316" s="66"/>
      <c r="C316" s="63"/>
      <c r="D316" s="63"/>
      <c r="E316" s="63"/>
      <c r="F316" s="63"/>
      <c r="G316" s="63"/>
      <c r="H316" s="63"/>
      <c r="I316" s="63"/>
      <c r="J316" s="63"/>
      <c r="K316" s="63"/>
      <c r="L316" s="66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5.75" customHeight="1">
      <c r="A317" s="63"/>
      <c r="B317" s="66"/>
      <c r="C317" s="63"/>
      <c r="D317" s="63"/>
      <c r="E317" s="63"/>
      <c r="F317" s="63"/>
      <c r="G317" s="63"/>
      <c r="H317" s="63"/>
      <c r="I317" s="63"/>
      <c r="J317" s="63"/>
      <c r="K317" s="63"/>
      <c r="L317" s="66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5.75" customHeight="1">
      <c r="A318" s="63"/>
      <c r="B318" s="66"/>
      <c r="C318" s="63"/>
      <c r="D318" s="63"/>
      <c r="E318" s="63"/>
      <c r="F318" s="63"/>
      <c r="G318" s="63"/>
      <c r="H318" s="63"/>
      <c r="I318" s="63"/>
      <c r="J318" s="63"/>
      <c r="K318" s="63"/>
      <c r="L318" s="66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5.75" customHeight="1">
      <c r="A319" s="63"/>
      <c r="B319" s="66"/>
      <c r="C319" s="63"/>
      <c r="D319" s="63"/>
      <c r="E319" s="63"/>
      <c r="F319" s="63"/>
      <c r="G319" s="63"/>
      <c r="H319" s="63"/>
      <c r="I319" s="63"/>
      <c r="J319" s="63"/>
      <c r="K319" s="63"/>
      <c r="L319" s="66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5.75" customHeight="1">
      <c r="A320" s="63"/>
      <c r="B320" s="66"/>
      <c r="C320" s="63"/>
      <c r="D320" s="63"/>
      <c r="E320" s="63"/>
      <c r="F320" s="63"/>
      <c r="G320" s="63"/>
      <c r="H320" s="63"/>
      <c r="I320" s="63"/>
      <c r="J320" s="63"/>
      <c r="K320" s="63"/>
      <c r="L320" s="66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5.75" customHeight="1">
      <c r="A321" s="63"/>
      <c r="B321" s="66"/>
      <c r="C321" s="63"/>
      <c r="D321" s="63"/>
      <c r="E321" s="63"/>
      <c r="F321" s="63"/>
      <c r="G321" s="63"/>
      <c r="H321" s="63"/>
      <c r="I321" s="63"/>
      <c r="J321" s="63"/>
      <c r="K321" s="63"/>
      <c r="L321" s="66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5.75" customHeight="1">
      <c r="A322" s="63"/>
      <c r="B322" s="66"/>
      <c r="C322" s="63"/>
      <c r="D322" s="63"/>
      <c r="E322" s="63"/>
      <c r="F322" s="63"/>
      <c r="G322" s="63"/>
      <c r="H322" s="63"/>
      <c r="I322" s="63"/>
      <c r="J322" s="63"/>
      <c r="K322" s="63"/>
      <c r="L322" s="66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5.75" customHeight="1">
      <c r="A323" s="63"/>
      <c r="B323" s="66"/>
      <c r="C323" s="63"/>
      <c r="D323" s="63"/>
      <c r="E323" s="63"/>
      <c r="F323" s="63"/>
      <c r="G323" s="63"/>
      <c r="H323" s="63"/>
      <c r="I323" s="63"/>
      <c r="J323" s="63"/>
      <c r="K323" s="63"/>
      <c r="L323" s="66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5.75" customHeight="1">
      <c r="A324" s="63"/>
      <c r="B324" s="66"/>
      <c r="C324" s="63"/>
      <c r="D324" s="63"/>
      <c r="E324" s="63"/>
      <c r="F324" s="63"/>
      <c r="G324" s="63"/>
      <c r="H324" s="63"/>
      <c r="I324" s="63"/>
      <c r="J324" s="63"/>
      <c r="K324" s="63"/>
      <c r="L324" s="66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5.75" customHeight="1">
      <c r="A325" s="63"/>
      <c r="B325" s="66"/>
      <c r="C325" s="63"/>
      <c r="D325" s="63"/>
      <c r="E325" s="63"/>
      <c r="F325" s="63"/>
      <c r="G325" s="63"/>
      <c r="H325" s="63"/>
      <c r="I325" s="63"/>
      <c r="J325" s="63"/>
      <c r="K325" s="63"/>
      <c r="L325" s="66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5.75" customHeight="1">
      <c r="A326" s="63"/>
      <c r="B326" s="66"/>
      <c r="C326" s="63"/>
      <c r="D326" s="63"/>
      <c r="E326" s="63"/>
      <c r="F326" s="63"/>
      <c r="G326" s="63"/>
      <c r="H326" s="63"/>
      <c r="I326" s="63"/>
      <c r="J326" s="63"/>
      <c r="K326" s="63"/>
      <c r="L326" s="66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5.75" customHeight="1">
      <c r="A327" s="63"/>
      <c r="B327" s="66"/>
      <c r="C327" s="63"/>
      <c r="D327" s="63"/>
      <c r="E327" s="63"/>
      <c r="F327" s="63"/>
      <c r="G327" s="63"/>
      <c r="H327" s="63"/>
      <c r="I327" s="63"/>
      <c r="J327" s="63"/>
      <c r="K327" s="63"/>
      <c r="L327" s="66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5.75" customHeight="1">
      <c r="A328" s="63"/>
      <c r="B328" s="66"/>
      <c r="C328" s="63"/>
      <c r="D328" s="63"/>
      <c r="E328" s="63"/>
      <c r="F328" s="63"/>
      <c r="G328" s="63"/>
      <c r="H328" s="63"/>
      <c r="I328" s="63"/>
      <c r="J328" s="63"/>
      <c r="K328" s="63"/>
      <c r="L328" s="66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5.75" customHeight="1">
      <c r="A329" s="63"/>
      <c r="B329" s="66"/>
      <c r="C329" s="63"/>
      <c r="D329" s="63"/>
      <c r="E329" s="63"/>
      <c r="F329" s="63"/>
      <c r="G329" s="63"/>
      <c r="H329" s="63"/>
      <c r="I329" s="63"/>
      <c r="J329" s="63"/>
      <c r="K329" s="63"/>
      <c r="L329" s="66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5.75" customHeight="1">
      <c r="A330" s="63"/>
      <c r="B330" s="66"/>
      <c r="C330" s="63"/>
      <c r="D330" s="63"/>
      <c r="E330" s="63"/>
      <c r="F330" s="63"/>
      <c r="G330" s="63"/>
      <c r="H330" s="63"/>
      <c r="I330" s="63"/>
      <c r="J330" s="63"/>
      <c r="K330" s="63"/>
      <c r="L330" s="66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5.75" customHeight="1">
      <c r="A331" s="63"/>
      <c r="B331" s="66"/>
      <c r="C331" s="63"/>
      <c r="D331" s="63"/>
      <c r="E331" s="63"/>
      <c r="F331" s="63"/>
      <c r="G331" s="63"/>
      <c r="H331" s="63"/>
      <c r="I331" s="63"/>
      <c r="J331" s="63"/>
      <c r="K331" s="63"/>
      <c r="L331" s="66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5.75" customHeight="1">
      <c r="A332" s="63"/>
      <c r="B332" s="66"/>
      <c r="C332" s="63"/>
      <c r="D332" s="63"/>
      <c r="E332" s="63"/>
      <c r="F332" s="63"/>
      <c r="G332" s="63"/>
      <c r="H332" s="63"/>
      <c r="I332" s="63"/>
      <c r="J332" s="63"/>
      <c r="K332" s="63"/>
      <c r="L332" s="66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5.75" customHeight="1">
      <c r="A333" s="63"/>
      <c r="B333" s="66"/>
      <c r="C333" s="63"/>
      <c r="D333" s="63"/>
      <c r="E333" s="63"/>
      <c r="F333" s="63"/>
      <c r="G333" s="63"/>
      <c r="H333" s="63"/>
      <c r="I333" s="63"/>
      <c r="J333" s="63"/>
      <c r="K333" s="63"/>
      <c r="L333" s="66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5.75" customHeight="1">
      <c r="A334" s="63"/>
      <c r="B334" s="66"/>
      <c r="C334" s="63"/>
      <c r="D334" s="63"/>
      <c r="E334" s="63"/>
      <c r="F334" s="63"/>
      <c r="G334" s="63"/>
      <c r="H334" s="63"/>
      <c r="I334" s="63"/>
      <c r="J334" s="63"/>
      <c r="K334" s="63"/>
      <c r="L334" s="66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5.75" customHeight="1">
      <c r="A335" s="63"/>
      <c r="B335" s="66"/>
      <c r="C335" s="63"/>
      <c r="D335" s="63"/>
      <c r="E335" s="63"/>
      <c r="F335" s="63"/>
      <c r="G335" s="63"/>
      <c r="H335" s="63"/>
      <c r="I335" s="63"/>
      <c r="J335" s="63"/>
      <c r="K335" s="63"/>
      <c r="L335" s="66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5.75" customHeight="1">
      <c r="A336" s="63"/>
      <c r="B336" s="66"/>
      <c r="C336" s="63"/>
      <c r="D336" s="63"/>
      <c r="E336" s="63"/>
      <c r="F336" s="63"/>
      <c r="G336" s="63"/>
      <c r="H336" s="63"/>
      <c r="I336" s="63"/>
      <c r="J336" s="63"/>
      <c r="K336" s="63"/>
      <c r="L336" s="66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5.75" customHeight="1">
      <c r="A337" s="63"/>
      <c r="B337" s="66"/>
      <c r="C337" s="63"/>
      <c r="D337" s="63"/>
      <c r="E337" s="63"/>
      <c r="F337" s="63"/>
      <c r="G337" s="63"/>
      <c r="H337" s="63"/>
      <c r="I337" s="63"/>
      <c r="J337" s="63"/>
      <c r="K337" s="63"/>
      <c r="L337" s="66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5.75" customHeight="1">
      <c r="A338" s="63"/>
      <c r="B338" s="66"/>
      <c r="C338" s="63"/>
      <c r="D338" s="63"/>
      <c r="E338" s="63"/>
      <c r="F338" s="63"/>
      <c r="G338" s="63"/>
      <c r="H338" s="63"/>
      <c r="I338" s="63"/>
      <c r="J338" s="63"/>
      <c r="K338" s="63"/>
      <c r="L338" s="66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5.75" customHeight="1">
      <c r="A339" s="63"/>
      <c r="B339" s="66"/>
      <c r="C339" s="63"/>
      <c r="D339" s="63"/>
      <c r="E339" s="63"/>
      <c r="F339" s="63"/>
      <c r="G339" s="63"/>
      <c r="H339" s="63"/>
      <c r="I339" s="63"/>
      <c r="J339" s="63"/>
      <c r="K339" s="63"/>
      <c r="L339" s="66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5.75" customHeight="1">
      <c r="A340" s="63"/>
      <c r="B340" s="66"/>
      <c r="C340" s="63"/>
      <c r="D340" s="63"/>
      <c r="E340" s="63"/>
      <c r="F340" s="63"/>
      <c r="G340" s="63"/>
      <c r="H340" s="63"/>
      <c r="I340" s="63"/>
      <c r="J340" s="63"/>
      <c r="K340" s="63"/>
      <c r="L340" s="66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5.75" customHeight="1">
      <c r="A341" s="63"/>
      <c r="B341" s="66"/>
      <c r="C341" s="63"/>
      <c r="D341" s="63"/>
      <c r="E341" s="63"/>
      <c r="F341" s="63"/>
      <c r="G341" s="63"/>
      <c r="H341" s="63"/>
      <c r="I341" s="63"/>
      <c r="J341" s="63"/>
      <c r="K341" s="63"/>
      <c r="L341" s="66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5.75" customHeight="1">
      <c r="A342" s="63"/>
      <c r="B342" s="66"/>
      <c r="C342" s="63"/>
      <c r="D342" s="63"/>
      <c r="E342" s="63"/>
      <c r="F342" s="63"/>
      <c r="G342" s="63"/>
      <c r="H342" s="63"/>
      <c r="I342" s="63"/>
      <c r="J342" s="63"/>
      <c r="K342" s="63"/>
      <c r="L342" s="66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5.75" customHeight="1">
      <c r="A343" s="63"/>
      <c r="B343" s="66"/>
      <c r="C343" s="63"/>
      <c r="D343" s="63"/>
      <c r="E343" s="63"/>
      <c r="F343" s="63"/>
      <c r="G343" s="63"/>
      <c r="H343" s="63"/>
      <c r="I343" s="63"/>
      <c r="J343" s="63"/>
      <c r="K343" s="63"/>
      <c r="L343" s="66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5.75" customHeight="1">
      <c r="A344" s="63"/>
      <c r="B344" s="66"/>
      <c r="C344" s="63"/>
      <c r="D344" s="63"/>
      <c r="E344" s="63"/>
      <c r="F344" s="63"/>
      <c r="G344" s="63"/>
      <c r="H344" s="63"/>
      <c r="I344" s="63"/>
      <c r="J344" s="63"/>
      <c r="K344" s="63"/>
      <c r="L344" s="66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5.75" customHeight="1">
      <c r="A345" s="63"/>
      <c r="B345" s="66"/>
      <c r="C345" s="63"/>
      <c r="D345" s="63"/>
      <c r="E345" s="63"/>
      <c r="F345" s="63"/>
      <c r="G345" s="63"/>
      <c r="H345" s="63"/>
      <c r="I345" s="63"/>
      <c r="J345" s="63"/>
      <c r="K345" s="63"/>
      <c r="L345" s="66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5.75" customHeight="1">
      <c r="A346" s="63"/>
      <c r="B346" s="66"/>
      <c r="C346" s="63"/>
      <c r="D346" s="63"/>
      <c r="E346" s="63"/>
      <c r="F346" s="63"/>
      <c r="G346" s="63"/>
      <c r="H346" s="63"/>
      <c r="I346" s="63"/>
      <c r="J346" s="63"/>
      <c r="K346" s="63"/>
      <c r="L346" s="66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5.75" customHeight="1">
      <c r="A347" s="63"/>
      <c r="B347" s="66"/>
      <c r="C347" s="63"/>
      <c r="D347" s="63"/>
      <c r="E347" s="63"/>
      <c r="F347" s="63"/>
      <c r="G347" s="63"/>
      <c r="H347" s="63"/>
      <c r="I347" s="63"/>
      <c r="J347" s="63"/>
      <c r="K347" s="63"/>
      <c r="L347" s="66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5.75" customHeight="1">
      <c r="A348" s="63"/>
      <c r="B348" s="66"/>
      <c r="C348" s="63"/>
      <c r="D348" s="63"/>
      <c r="E348" s="63"/>
      <c r="F348" s="63"/>
      <c r="G348" s="63"/>
      <c r="H348" s="63"/>
      <c r="I348" s="63"/>
      <c r="J348" s="63"/>
      <c r="K348" s="63"/>
      <c r="L348" s="66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5.75" customHeight="1">
      <c r="A349" s="63"/>
      <c r="B349" s="66"/>
      <c r="C349" s="63"/>
      <c r="D349" s="63"/>
      <c r="E349" s="63"/>
      <c r="F349" s="63"/>
      <c r="G349" s="63"/>
      <c r="H349" s="63"/>
      <c r="I349" s="63"/>
      <c r="J349" s="63"/>
      <c r="K349" s="63"/>
      <c r="L349" s="66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5.75" customHeight="1">
      <c r="A350" s="63"/>
      <c r="B350" s="66"/>
      <c r="C350" s="63"/>
      <c r="D350" s="63"/>
      <c r="E350" s="63"/>
      <c r="F350" s="63"/>
      <c r="G350" s="63"/>
      <c r="H350" s="63"/>
      <c r="I350" s="63"/>
      <c r="J350" s="63"/>
      <c r="K350" s="63"/>
      <c r="L350" s="66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5.75" customHeight="1">
      <c r="A351" s="63"/>
      <c r="B351" s="66"/>
      <c r="C351" s="63"/>
      <c r="D351" s="63"/>
      <c r="E351" s="63"/>
      <c r="F351" s="63"/>
      <c r="G351" s="63"/>
      <c r="H351" s="63"/>
      <c r="I351" s="63"/>
      <c r="J351" s="63"/>
      <c r="K351" s="63"/>
      <c r="L351" s="66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5.75" customHeight="1">
      <c r="A352" s="63"/>
      <c r="B352" s="66"/>
      <c r="C352" s="63"/>
      <c r="D352" s="63"/>
      <c r="E352" s="63"/>
      <c r="F352" s="63"/>
      <c r="G352" s="63"/>
      <c r="H352" s="63"/>
      <c r="I352" s="63"/>
      <c r="J352" s="63"/>
      <c r="K352" s="63"/>
      <c r="L352" s="66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5.75" customHeight="1">
      <c r="A353" s="63"/>
      <c r="B353" s="66"/>
      <c r="C353" s="63"/>
      <c r="D353" s="63"/>
      <c r="E353" s="63"/>
      <c r="F353" s="63"/>
      <c r="G353" s="63"/>
      <c r="H353" s="63"/>
      <c r="I353" s="63"/>
      <c r="J353" s="63"/>
      <c r="K353" s="63"/>
      <c r="L353" s="66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5.75" customHeight="1">
      <c r="A354" s="63"/>
      <c r="B354" s="66"/>
      <c r="C354" s="63"/>
      <c r="D354" s="63"/>
      <c r="E354" s="63"/>
      <c r="F354" s="63"/>
      <c r="G354" s="63"/>
      <c r="H354" s="63"/>
      <c r="I354" s="63"/>
      <c r="J354" s="63"/>
      <c r="K354" s="63"/>
      <c r="L354" s="66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5.75" customHeight="1">
      <c r="A355" s="63"/>
      <c r="B355" s="66"/>
      <c r="C355" s="63"/>
      <c r="D355" s="63"/>
      <c r="E355" s="63"/>
      <c r="F355" s="63"/>
      <c r="G355" s="63"/>
      <c r="H355" s="63"/>
      <c r="I355" s="63"/>
      <c r="J355" s="63"/>
      <c r="K355" s="63"/>
      <c r="L355" s="66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5.75" customHeight="1">
      <c r="A356" s="63"/>
      <c r="B356" s="66"/>
      <c r="C356" s="63"/>
      <c r="D356" s="63"/>
      <c r="E356" s="63"/>
      <c r="F356" s="63"/>
      <c r="G356" s="63"/>
      <c r="H356" s="63"/>
      <c r="I356" s="63"/>
      <c r="J356" s="63"/>
      <c r="K356" s="63"/>
      <c r="L356" s="66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5.75" customHeight="1">
      <c r="A357" s="63"/>
      <c r="B357" s="66"/>
      <c r="C357" s="63"/>
      <c r="D357" s="63"/>
      <c r="E357" s="63"/>
      <c r="F357" s="63"/>
      <c r="G357" s="63"/>
      <c r="H357" s="63"/>
      <c r="I357" s="63"/>
      <c r="J357" s="63"/>
      <c r="K357" s="63"/>
      <c r="L357" s="66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5.75" customHeight="1">
      <c r="A358" s="63"/>
      <c r="B358" s="66"/>
      <c r="C358" s="63"/>
      <c r="D358" s="63"/>
      <c r="E358" s="63"/>
      <c r="F358" s="63"/>
      <c r="G358" s="63"/>
      <c r="H358" s="63"/>
      <c r="I358" s="63"/>
      <c r="J358" s="63"/>
      <c r="K358" s="63"/>
      <c r="L358" s="66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5.75" customHeight="1">
      <c r="A359" s="63"/>
      <c r="B359" s="66"/>
      <c r="C359" s="63"/>
      <c r="D359" s="63"/>
      <c r="E359" s="63"/>
      <c r="F359" s="63"/>
      <c r="G359" s="63"/>
      <c r="H359" s="63"/>
      <c r="I359" s="63"/>
      <c r="J359" s="63"/>
      <c r="K359" s="63"/>
      <c r="L359" s="66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5.75" customHeight="1">
      <c r="A360" s="63"/>
      <c r="B360" s="66"/>
      <c r="C360" s="63"/>
      <c r="D360" s="63"/>
      <c r="E360" s="63"/>
      <c r="F360" s="63"/>
      <c r="G360" s="63"/>
      <c r="H360" s="63"/>
      <c r="I360" s="63"/>
      <c r="J360" s="63"/>
      <c r="K360" s="63"/>
      <c r="L360" s="66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5.75" customHeight="1">
      <c r="A361" s="63"/>
      <c r="B361" s="66"/>
      <c r="C361" s="63"/>
      <c r="D361" s="63"/>
      <c r="E361" s="63"/>
      <c r="F361" s="63"/>
      <c r="G361" s="63"/>
      <c r="H361" s="63"/>
      <c r="I361" s="63"/>
      <c r="J361" s="63"/>
      <c r="K361" s="63"/>
      <c r="L361" s="66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5.75" customHeight="1">
      <c r="A362" s="63"/>
      <c r="B362" s="66"/>
      <c r="C362" s="63"/>
      <c r="D362" s="63"/>
      <c r="E362" s="63"/>
      <c r="F362" s="63"/>
      <c r="G362" s="63"/>
      <c r="H362" s="63"/>
      <c r="I362" s="63"/>
      <c r="J362" s="63"/>
      <c r="K362" s="63"/>
      <c r="L362" s="66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5.75" customHeight="1">
      <c r="A363" s="63"/>
      <c r="B363" s="66"/>
      <c r="C363" s="63"/>
      <c r="D363" s="63"/>
      <c r="E363" s="63"/>
      <c r="F363" s="63"/>
      <c r="G363" s="63"/>
      <c r="H363" s="63"/>
      <c r="I363" s="63"/>
      <c r="J363" s="63"/>
      <c r="K363" s="63"/>
      <c r="L363" s="66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5.75" customHeight="1">
      <c r="A364" s="63"/>
      <c r="B364" s="66"/>
      <c r="C364" s="63"/>
      <c r="D364" s="63"/>
      <c r="E364" s="63"/>
      <c r="F364" s="63"/>
      <c r="G364" s="63"/>
      <c r="H364" s="63"/>
      <c r="I364" s="63"/>
      <c r="J364" s="63"/>
      <c r="K364" s="63"/>
      <c r="L364" s="66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5.75" customHeight="1">
      <c r="A365" s="63"/>
      <c r="B365" s="66"/>
      <c r="C365" s="63"/>
      <c r="D365" s="63"/>
      <c r="E365" s="63"/>
      <c r="F365" s="63"/>
      <c r="G365" s="63"/>
      <c r="H365" s="63"/>
      <c r="I365" s="63"/>
      <c r="J365" s="63"/>
      <c r="K365" s="63"/>
      <c r="L365" s="66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5.75" customHeight="1">
      <c r="A366" s="63"/>
      <c r="B366" s="66"/>
      <c r="C366" s="63"/>
      <c r="D366" s="63"/>
      <c r="E366" s="63"/>
      <c r="F366" s="63"/>
      <c r="G366" s="63"/>
      <c r="H366" s="63"/>
      <c r="I366" s="63"/>
      <c r="J366" s="63"/>
      <c r="K366" s="63"/>
      <c r="L366" s="66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5.75" customHeight="1">
      <c r="A367" s="63"/>
      <c r="B367" s="66"/>
      <c r="C367" s="63"/>
      <c r="D367" s="63"/>
      <c r="E367" s="63"/>
      <c r="F367" s="63"/>
      <c r="G367" s="63"/>
      <c r="H367" s="63"/>
      <c r="I367" s="63"/>
      <c r="J367" s="63"/>
      <c r="K367" s="63"/>
      <c r="L367" s="66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5.75" customHeight="1">
      <c r="A368" s="63"/>
      <c r="B368" s="66"/>
      <c r="C368" s="63"/>
      <c r="D368" s="63"/>
      <c r="E368" s="63"/>
      <c r="F368" s="63"/>
      <c r="G368" s="63"/>
      <c r="H368" s="63"/>
      <c r="I368" s="63"/>
      <c r="J368" s="63"/>
      <c r="K368" s="63"/>
      <c r="L368" s="66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5.75" customHeight="1">
      <c r="A369" s="63"/>
      <c r="B369" s="66"/>
      <c r="C369" s="63"/>
      <c r="D369" s="63"/>
      <c r="E369" s="63"/>
      <c r="F369" s="63"/>
      <c r="G369" s="63"/>
      <c r="H369" s="63"/>
      <c r="I369" s="63"/>
      <c r="J369" s="63"/>
      <c r="K369" s="63"/>
      <c r="L369" s="66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5.75" customHeight="1">
      <c r="A370" s="63"/>
      <c r="B370" s="66"/>
      <c r="C370" s="63"/>
      <c r="D370" s="63"/>
      <c r="E370" s="63"/>
      <c r="F370" s="63"/>
      <c r="G370" s="63"/>
      <c r="H370" s="63"/>
      <c r="I370" s="63"/>
      <c r="J370" s="63"/>
      <c r="K370" s="63"/>
      <c r="L370" s="66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5.75" customHeight="1">
      <c r="A371" s="63"/>
      <c r="B371" s="66"/>
      <c r="C371" s="63"/>
      <c r="D371" s="63"/>
      <c r="E371" s="63"/>
      <c r="F371" s="63"/>
      <c r="G371" s="63"/>
      <c r="H371" s="63"/>
      <c r="I371" s="63"/>
      <c r="J371" s="63"/>
      <c r="K371" s="63"/>
      <c r="L371" s="66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5.75" customHeight="1">
      <c r="A372" s="63"/>
      <c r="B372" s="66"/>
      <c r="C372" s="63"/>
      <c r="D372" s="63"/>
      <c r="E372" s="63"/>
      <c r="F372" s="63"/>
      <c r="G372" s="63"/>
      <c r="H372" s="63"/>
      <c r="I372" s="63"/>
      <c r="J372" s="63"/>
      <c r="K372" s="63"/>
      <c r="L372" s="66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5.75" customHeight="1">
      <c r="A373" s="63"/>
      <c r="B373" s="66"/>
      <c r="C373" s="63"/>
      <c r="D373" s="63"/>
      <c r="E373" s="63"/>
      <c r="F373" s="63"/>
      <c r="G373" s="63"/>
      <c r="H373" s="63"/>
      <c r="I373" s="63"/>
      <c r="J373" s="63"/>
      <c r="K373" s="63"/>
      <c r="L373" s="66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5.75" customHeight="1">
      <c r="A374" s="63"/>
      <c r="B374" s="66"/>
      <c r="C374" s="63"/>
      <c r="D374" s="63"/>
      <c r="E374" s="63"/>
      <c r="F374" s="63"/>
      <c r="G374" s="63"/>
      <c r="H374" s="63"/>
      <c r="I374" s="63"/>
      <c r="J374" s="63"/>
      <c r="K374" s="63"/>
      <c r="L374" s="66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5.75" customHeight="1">
      <c r="A375" s="63"/>
      <c r="B375" s="66"/>
      <c r="C375" s="63"/>
      <c r="D375" s="63"/>
      <c r="E375" s="63"/>
      <c r="F375" s="63"/>
      <c r="G375" s="63"/>
      <c r="H375" s="63"/>
      <c r="I375" s="63"/>
      <c r="J375" s="63"/>
      <c r="K375" s="63"/>
      <c r="L375" s="66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5.75" customHeight="1">
      <c r="A376" s="63"/>
      <c r="B376" s="66"/>
      <c r="C376" s="63"/>
      <c r="D376" s="63"/>
      <c r="E376" s="63"/>
      <c r="F376" s="63"/>
      <c r="G376" s="63"/>
      <c r="H376" s="63"/>
      <c r="I376" s="63"/>
      <c r="J376" s="63"/>
      <c r="K376" s="63"/>
      <c r="L376" s="66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5.75" customHeight="1">
      <c r="A377" s="63"/>
      <c r="B377" s="66"/>
      <c r="C377" s="63"/>
      <c r="D377" s="63"/>
      <c r="E377" s="63"/>
      <c r="F377" s="63"/>
      <c r="G377" s="63"/>
      <c r="H377" s="63"/>
      <c r="I377" s="63"/>
      <c r="J377" s="63"/>
      <c r="K377" s="63"/>
      <c r="L377" s="66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5.75" customHeight="1">
      <c r="A378" s="63"/>
      <c r="B378" s="66"/>
      <c r="C378" s="63"/>
      <c r="D378" s="63"/>
      <c r="E378" s="63"/>
      <c r="F378" s="63"/>
      <c r="G378" s="63"/>
      <c r="H378" s="63"/>
      <c r="I378" s="63"/>
      <c r="J378" s="63"/>
      <c r="K378" s="63"/>
      <c r="L378" s="66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5.75" customHeight="1">
      <c r="A379" s="63"/>
      <c r="B379" s="66"/>
      <c r="C379" s="63"/>
      <c r="D379" s="63"/>
      <c r="E379" s="63"/>
      <c r="F379" s="63"/>
      <c r="G379" s="63"/>
      <c r="H379" s="63"/>
      <c r="I379" s="63"/>
      <c r="J379" s="63"/>
      <c r="K379" s="63"/>
      <c r="L379" s="66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5.75" customHeight="1">
      <c r="A380" s="63"/>
      <c r="B380" s="66"/>
      <c r="C380" s="63"/>
      <c r="D380" s="63"/>
      <c r="E380" s="63"/>
      <c r="F380" s="63"/>
      <c r="G380" s="63"/>
      <c r="H380" s="63"/>
      <c r="I380" s="63"/>
      <c r="J380" s="63"/>
      <c r="K380" s="63"/>
      <c r="L380" s="66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5.75" customHeight="1">
      <c r="A381" s="63"/>
      <c r="B381" s="66"/>
      <c r="C381" s="63"/>
      <c r="D381" s="63"/>
      <c r="E381" s="63"/>
      <c r="F381" s="63"/>
      <c r="G381" s="63"/>
      <c r="H381" s="63"/>
      <c r="I381" s="63"/>
      <c r="J381" s="63"/>
      <c r="K381" s="63"/>
      <c r="L381" s="66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5.75" customHeight="1">
      <c r="A382" s="63"/>
      <c r="B382" s="66"/>
      <c r="C382" s="63"/>
      <c r="D382" s="63"/>
      <c r="E382" s="63"/>
      <c r="F382" s="63"/>
      <c r="G382" s="63"/>
      <c r="H382" s="63"/>
      <c r="I382" s="63"/>
      <c r="J382" s="63"/>
      <c r="K382" s="63"/>
      <c r="L382" s="66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5.75" customHeight="1">
      <c r="A383" s="63"/>
      <c r="B383" s="66"/>
      <c r="C383" s="63"/>
      <c r="D383" s="63"/>
      <c r="E383" s="63"/>
      <c r="F383" s="63"/>
      <c r="G383" s="63"/>
      <c r="H383" s="63"/>
      <c r="I383" s="63"/>
      <c r="J383" s="63"/>
      <c r="K383" s="63"/>
      <c r="L383" s="66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5.75" customHeight="1">
      <c r="A384" s="63"/>
      <c r="B384" s="66"/>
      <c r="C384" s="63"/>
      <c r="D384" s="63"/>
      <c r="E384" s="63"/>
      <c r="F384" s="63"/>
      <c r="G384" s="63"/>
      <c r="H384" s="63"/>
      <c r="I384" s="63"/>
      <c r="J384" s="63"/>
      <c r="K384" s="63"/>
      <c r="L384" s="66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5.75" customHeight="1">
      <c r="A385" s="63"/>
      <c r="B385" s="66"/>
      <c r="C385" s="63"/>
      <c r="D385" s="63"/>
      <c r="E385" s="63"/>
      <c r="F385" s="63"/>
      <c r="G385" s="63"/>
      <c r="H385" s="63"/>
      <c r="I385" s="63"/>
      <c r="J385" s="63"/>
      <c r="K385" s="63"/>
      <c r="L385" s="66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5.75" customHeight="1">
      <c r="A386" s="63"/>
      <c r="B386" s="66"/>
      <c r="C386" s="63"/>
      <c r="D386" s="63"/>
      <c r="E386" s="63"/>
      <c r="F386" s="63"/>
      <c r="G386" s="63"/>
      <c r="H386" s="63"/>
      <c r="I386" s="63"/>
      <c r="J386" s="63"/>
      <c r="K386" s="63"/>
      <c r="L386" s="66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5.75" customHeight="1">
      <c r="A387" s="63"/>
      <c r="B387" s="66"/>
      <c r="C387" s="63"/>
      <c r="D387" s="63"/>
      <c r="E387" s="63"/>
      <c r="F387" s="63"/>
      <c r="G387" s="63"/>
      <c r="H387" s="63"/>
      <c r="I387" s="63"/>
      <c r="J387" s="63"/>
      <c r="K387" s="63"/>
      <c r="L387" s="66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5.75" customHeight="1">
      <c r="A388" s="63"/>
      <c r="B388" s="66"/>
      <c r="C388" s="63"/>
      <c r="D388" s="63"/>
      <c r="E388" s="63"/>
      <c r="F388" s="63"/>
      <c r="G388" s="63"/>
      <c r="H388" s="63"/>
      <c r="I388" s="63"/>
      <c r="J388" s="63"/>
      <c r="K388" s="63"/>
      <c r="L388" s="66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5.75" customHeight="1">
      <c r="A389" s="63"/>
      <c r="B389" s="66"/>
      <c r="C389" s="63"/>
      <c r="D389" s="63"/>
      <c r="E389" s="63"/>
      <c r="F389" s="63"/>
      <c r="G389" s="63"/>
      <c r="H389" s="63"/>
      <c r="I389" s="63"/>
      <c r="J389" s="63"/>
      <c r="K389" s="63"/>
      <c r="L389" s="66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5.75" customHeight="1">
      <c r="A390" s="63"/>
      <c r="B390" s="66"/>
      <c r="C390" s="63"/>
      <c r="D390" s="63"/>
      <c r="E390" s="63"/>
      <c r="F390" s="63"/>
      <c r="G390" s="63"/>
      <c r="H390" s="63"/>
      <c r="I390" s="63"/>
      <c r="J390" s="63"/>
      <c r="K390" s="63"/>
      <c r="L390" s="66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5.75" customHeight="1">
      <c r="A391" s="63"/>
      <c r="B391" s="66"/>
      <c r="C391" s="63"/>
      <c r="D391" s="63"/>
      <c r="E391" s="63"/>
      <c r="F391" s="63"/>
      <c r="G391" s="63"/>
      <c r="H391" s="63"/>
      <c r="I391" s="63"/>
      <c r="J391" s="63"/>
      <c r="K391" s="63"/>
      <c r="L391" s="66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5.75" customHeight="1">
      <c r="A392" s="63"/>
      <c r="B392" s="66"/>
      <c r="C392" s="63"/>
      <c r="D392" s="63"/>
      <c r="E392" s="63"/>
      <c r="F392" s="63"/>
      <c r="G392" s="63"/>
      <c r="H392" s="63"/>
      <c r="I392" s="63"/>
      <c r="J392" s="63"/>
      <c r="K392" s="63"/>
      <c r="L392" s="66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5.75" customHeight="1">
      <c r="A393" s="63"/>
      <c r="B393" s="66"/>
      <c r="C393" s="63"/>
      <c r="D393" s="63"/>
      <c r="E393" s="63"/>
      <c r="F393" s="63"/>
      <c r="G393" s="63"/>
      <c r="H393" s="63"/>
      <c r="I393" s="63"/>
      <c r="J393" s="63"/>
      <c r="K393" s="63"/>
      <c r="L393" s="66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5.75" customHeight="1">
      <c r="A394" s="63"/>
      <c r="B394" s="66"/>
      <c r="C394" s="63"/>
      <c r="D394" s="63"/>
      <c r="E394" s="63"/>
      <c r="F394" s="63"/>
      <c r="G394" s="63"/>
      <c r="H394" s="63"/>
      <c r="I394" s="63"/>
      <c r="J394" s="63"/>
      <c r="K394" s="63"/>
      <c r="L394" s="66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5.75" customHeight="1">
      <c r="A395" s="63"/>
      <c r="B395" s="66"/>
      <c r="C395" s="63"/>
      <c r="D395" s="63"/>
      <c r="E395" s="63"/>
      <c r="F395" s="63"/>
      <c r="G395" s="63"/>
      <c r="H395" s="63"/>
      <c r="I395" s="63"/>
      <c r="J395" s="63"/>
      <c r="K395" s="63"/>
      <c r="L395" s="66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5.75" customHeight="1">
      <c r="A396" s="63"/>
      <c r="B396" s="66"/>
      <c r="C396" s="63"/>
      <c r="D396" s="63"/>
      <c r="E396" s="63"/>
      <c r="F396" s="63"/>
      <c r="G396" s="63"/>
      <c r="H396" s="63"/>
      <c r="I396" s="63"/>
      <c r="J396" s="63"/>
      <c r="K396" s="63"/>
      <c r="L396" s="66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5.75" customHeight="1">
      <c r="A397" s="63"/>
      <c r="B397" s="66"/>
      <c r="C397" s="63"/>
      <c r="D397" s="63"/>
      <c r="E397" s="63"/>
      <c r="F397" s="63"/>
      <c r="G397" s="63"/>
      <c r="H397" s="63"/>
      <c r="I397" s="63"/>
      <c r="J397" s="63"/>
      <c r="K397" s="63"/>
      <c r="L397" s="66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5.75" customHeight="1">
      <c r="A398" s="63"/>
      <c r="B398" s="66"/>
      <c r="C398" s="63"/>
      <c r="D398" s="63"/>
      <c r="E398" s="63"/>
      <c r="F398" s="63"/>
      <c r="G398" s="63"/>
      <c r="H398" s="63"/>
      <c r="I398" s="63"/>
      <c r="J398" s="63"/>
      <c r="K398" s="63"/>
      <c r="L398" s="66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5.75" customHeight="1">
      <c r="A399" s="63"/>
      <c r="B399" s="66"/>
      <c r="C399" s="63"/>
      <c r="D399" s="63"/>
      <c r="E399" s="63"/>
      <c r="F399" s="63"/>
      <c r="G399" s="63"/>
      <c r="H399" s="63"/>
      <c r="I399" s="63"/>
      <c r="J399" s="63"/>
      <c r="K399" s="63"/>
      <c r="L399" s="66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5.75" customHeight="1">
      <c r="A400" s="63"/>
      <c r="B400" s="66"/>
      <c r="C400" s="63"/>
      <c r="D400" s="63"/>
      <c r="E400" s="63"/>
      <c r="F400" s="63"/>
      <c r="G400" s="63"/>
      <c r="H400" s="63"/>
      <c r="I400" s="63"/>
      <c r="J400" s="63"/>
      <c r="K400" s="63"/>
      <c r="L400" s="66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5.75" customHeight="1">
      <c r="A401" s="63"/>
      <c r="B401" s="66"/>
      <c r="C401" s="63"/>
      <c r="D401" s="63"/>
      <c r="E401" s="63"/>
      <c r="F401" s="63"/>
      <c r="G401" s="63"/>
      <c r="H401" s="63"/>
      <c r="I401" s="63"/>
      <c r="J401" s="63"/>
      <c r="K401" s="63"/>
      <c r="L401" s="66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5.75" customHeight="1">
      <c r="A402" s="63"/>
      <c r="B402" s="66"/>
      <c r="C402" s="63"/>
      <c r="D402" s="63"/>
      <c r="E402" s="63"/>
      <c r="F402" s="63"/>
      <c r="G402" s="63"/>
      <c r="H402" s="63"/>
      <c r="I402" s="63"/>
      <c r="J402" s="63"/>
      <c r="K402" s="63"/>
      <c r="L402" s="66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5.75" customHeight="1">
      <c r="A403" s="63"/>
      <c r="B403" s="66"/>
      <c r="C403" s="63"/>
      <c r="D403" s="63"/>
      <c r="E403" s="63"/>
      <c r="F403" s="63"/>
      <c r="G403" s="63"/>
      <c r="H403" s="63"/>
      <c r="I403" s="63"/>
      <c r="J403" s="63"/>
      <c r="K403" s="63"/>
      <c r="L403" s="66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5.75" customHeight="1">
      <c r="A404" s="63"/>
      <c r="B404" s="66"/>
      <c r="C404" s="63"/>
      <c r="D404" s="63"/>
      <c r="E404" s="63"/>
      <c r="F404" s="63"/>
      <c r="G404" s="63"/>
      <c r="H404" s="63"/>
      <c r="I404" s="63"/>
      <c r="J404" s="63"/>
      <c r="K404" s="63"/>
      <c r="L404" s="66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5.75" customHeight="1">
      <c r="A405" s="63"/>
      <c r="B405" s="66"/>
      <c r="C405" s="63"/>
      <c r="D405" s="63"/>
      <c r="E405" s="63"/>
      <c r="F405" s="63"/>
      <c r="G405" s="63"/>
      <c r="H405" s="63"/>
      <c r="I405" s="63"/>
      <c r="J405" s="63"/>
      <c r="K405" s="63"/>
      <c r="L405" s="66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5.75" customHeight="1">
      <c r="A406" s="63"/>
      <c r="B406" s="66"/>
      <c r="C406" s="63"/>
      <c r="D406" s="63"/>
      <c r="E406" s="63"/>
      <c r="F406" s="63"/>
      <c r="G406" s="63"/>
      <c r="H406" s="63"/>
      <c r="I406" s="63"/>
      <c r="J406" s="63"/>
      <c r="K406" s="63"/>
      <c r="L406" s="66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5.75" customHeight="1">
      <c r="A407" s="63"/>
      <c r="B407" s="66"/>
      <c r="C407" s="63"/>
      <c r="D407" s="63"/>
      <c r="E407" s="63"/>
      <c r="F407" s="63"/>
      <c r="G407" s="63"/>
      <c r="H407" s="63"/>
      <c r="I407" s="63"/>
      <c r="J407" s="63"/>
      <c r="K407" s="63"/>
      <c r="L407" s="66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5.75" customHeight="1">
      <c r="A408" s="63"/>
      <c r="B408" s="66"/>
      <c r="C408" s="63"/>
      <c r="D408" s="63"/>
      <c r="E408" s="63"/>
      <c r="F408" s="63"/>
      <c r="G408" s="63"/>
      <c r="H408" s="63"/>
      <c r="I408" s="63"/>
      <c r="J408" s="63"/>
      <c r="K408" s="63"/>
      <c r="L408" s="66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5.75" customHeight="1">
      <c r="A409" s="63"/>
      <c r="B409" s="66"/>
      <c r="C409" s="63"/>
      <c r="D409" s="63"/>
      <c r="E409" s="63"/>
      <c r="F409" s="63"/>
      <c r="G409" s="63"/>
      <c r="H409" s="63"/>
      <c r="I409" s="63"/>
      <c r="J409" s="63"/>
      <c r="K409" s="63"/>
      <c r="L409" s="66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5.75" customHeight="1">
      <c r="A410" s="63"/>
      <c r="B410" s="66"/>
      <c r="C410" s="63"/>
      <c r="D410" s="63"/>
      <c r="E410" s="63"/>
      <c r="F410" s="63"/>
      <c r="G410" s="63"/>
      <c r="H410" s="63"/>
      <c r="I410" s="63"/>
      <c r="J410" s="63"/>
      <c r="K410" s="63"/>
      <c r="L410" s="66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5.75" customHeight="1">
      <c r="A411" s="63"/>
      <c r="B411" s="66"/>
      <c r="C411" s="63"/>
      <c r="D411" s="63"/>
      <c r="E411" s="63"/>
      <c r="F411" s="63"/>
      <c r="G411" s="63"/>
      <c r="H411" s="63"/>
      <c r="I411" s="63"/>
      <c r="J411" s="63"/>
      <c r="K411" s="63"/>
      <c r="L411" s="66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5.75" customHeight="1">
      <c r="A412" s="63"/>
      <c r="B412" s="66"/>
      <c r="C412" s="63"/>
      <c r="D412" s="63"/>
      <c r="E412" s="63"/>
      <c r="F412" s="63"/>
      <c r="G412" s="63"/>
      <c r="H412" s="63"/>
      <c r="I412" s="63"/>
      <c r="J412" s="63"/>
      <c r="K412" s="63"/>
      <c r="L412" s="66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5.75" customHeight="1">
      <c r="A413" s="63"/>
      <c r="B413" s="66"/>
      <c r="C413" s="63"/>
      <c r="D413" s="63"/>
      <c r="E413" s="63"/>
      <c r="F413" s="63"/>
      <c r="G413" s="63"/>
      <c r="H413" s="63"/>
      <c r="I413" s="63"/>
      <c r="J413" s="63"/>
      <c r="K413" s="63"/>
      <c r="L413" s="66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5.75" customHeight="1">
      <c r="A414" s="63"/>
      <c r="B414" s="66"/>
      <c r="C414" s="63"/>
      <c r="D414" s="63"/>
      <c r="E414" s="63"/>
      <c r="F414" s="63"/>
      <c r="G414" s="63"/>
      <c r="H414" s="63"/>
      <c r="I414" s="63"/>
      <c r="J414" s="63"/>
      <c r="K414" s="63"/>
      <c r="L414" s="66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5.75" customHeight="1">
      <c r="A415" s="63"/>
      <c r="B415" s="66"/>
      <c r="C415" s="63"/>
      <c r="D415" s="63"/>
      <c r="E415" s="63"/>
      <c r="F415" s="63"/>
      <c r="G415" s="63"/>
      <c r="H415" s="63"/>
      <c r="I415" s="63"/>
      <c r="J415" s="63"/>
      <c r="K415" s="63"/>
      <c r="L415" s="66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5.75" customHeight="1">
      <c r="A416" s="63"/>
      <c r="B416" s="66"/>
      <c r="C416" s="63"/>
      <c r="D416" s="63"/>
      <c r="E416" s="63"/>
      <c r="F416" s="63"/>
      <c r="G416" s="63"/>
      <c r="H416" s="63"/>
      <c r="I416" s="63"/>
      <c r="J416" s="63"/>
      <c r="K416" s="63"/>
      <c r="L416" s="66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5.75" customHeight="1">
      <c r="A417" s="63"/>
      <c r="B417" s="66"/>
      <c r="C417" s="63"/>
      <c r="D417" s="63"/>
      <c r="E417" s="63"/>
      <c r="F417" s="63"/>
      <c r="G417" s="63"/>
      <c r="H417" s="63"/>
      <c r="I417" s="63"/>
      <c r="J417" s="63"/>
      <c r="K417" s="63"/>
      <c r="L417" s="66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5.75" customHeight="1">
      <c r="A418" s="63"/>
      <c r="B418" s="66"/>
      <c r="C418" s="63"/>
      <c r="D418" s="63"/>
      <c r="E418" s="63"/>
      <c r="F418" s="63"/>
      <c r="G418" s="63"/>
      <c r="H418" s="63"/>
      <c r="I418" s="63"/>
      <c r="J418" s="63"/>
      <c r="K418" s="63"/>
      <c r="L418" s="66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5.75" customHeight="1">
      <c r="A419" s="63"/>
      <c r="B419" s="66"/>
      <c r="C419" s="63"/>
      <c r="D419" s="63"/>
      <c r="E419" s="63"/>
      <c r="F419" s="63"/>
      <c r="G419" s="63"/>
      <c r="H419" s="63"/>
      <c r="I419" s="63"/>
      <c r="J419" s="63"/>
      <c r="K419" s="63"/>
      <c r="L419" s="66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5.75" customHeight="1">
      <c r="A420" s="63"/>
      <c r="B420" s="66"/>
      <c r="C420" s="63"/>
      <c r="D420" s="63"/>
      <c r="E420" s="63"/>
      <c r="F420" s="63"/>
      <c r="G420" s="63"/>
      <c r="H420" s="63"/>
      <c r="I420" s="63"/>
      <c r="J420" s="63"/>
      <c r="K420" s="63"/>
      <c r="L420" s="66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5.75" customHeight="1">
      <c r="A421" s="63"/>
      <c r="B421" s="66"/>
      <c r="C421" s="63"/>
      <c r="D421" s="63"/>
      <c r="E421" s="63"/>
      <c r="F421" s="63"/>
      <c r="G421" s="63"/>
      <c r="H421" s="63"/>
      <c r="I421" s="63"/>
      <c r="J421" s="63"/>
      <c r="K421" s="63"/>
      <c r="L421" s="66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5.75" customHeight="1">
      <c r="A422" s="63"/>
      <c r="B422" s="66"/>
      <c r="C422" s="63"/>
      <c r="D422" s="63"/>
      <c r="E422" s="63"/>
      <c r="F422" s="63"/>
      <c r="G422" s="63"/>
      <c r="H422" s="63"/>
      <c r="I422" s="63"/>
      <c r="J422" s="63"/>
      <c r="K422" s="63"/>
      <c r="L422" s="66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5.75" customHeight="1">
      <c r="A423" s="63"/>
      <c r="B423" s="66"/>
      <c r="C423" s="63"/>
      <c r="D423" s="63"/>
      <c r="E423" s="63"/>
      <c r="F423" s="63"/>
      <c r="G423" s="63"/>
      <c r="H423" s="63"/>
      <c r="I423" s="63"/>
      <c r="J423" s="63"/>
      <c r="K423" s="63"/>
      <c r="L423" s="66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5.75" customHeight="1">
      <c r="A424" s="63"/>
      <c r="B424" s="66"/>
      <c r="C424" s="63"/>
      <c r="D424" s="63"/>
      <c r="E424" s="63"/>
      <c r="F424" s="63"/>
      <c r="G424" s="63"/>
      <c r="H424" s="63"/>
      <c r="I424" s="63"/>
      <c r="J424" s="63"/>
      <c r="K424" s="63"/>
      <c r="L424" s="66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5.75" customHeight="1">
      <c r="A425" s="63"/>
      <c r="B425" s="66"/>
      <c r="C425" s="63"/>
      <c r="D425" s="63"/>
      <c r="E425" s="63"/>
      <c r="F425" s="63"/>
      <c r="G425" s="63"/>
      <c r="H425" s="63"/>
      <c r="I425" s="63"/>
      <c r="J425" s="63"/>
      <c r="K425" s="63"/>
      <c r="L425" s="66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5.75" customHeight="1">
      <c r="A426" s="63"/>
      <c r="B426" s="66"/>
      <c r="C426" s="63"/>
      <c r="D426" s="63"/>
      <c r="E426" s="63"/>
      <c r="F426" s="63"/>
      <c r="G426" s="63"/>
      <c r="H426" s="63"/>
      <c r="I426" s="63"/>
      <c r="J426" s="63"/>
      <c r="K426" s="63"/>
      <c r="L426" s="66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5.75" customHeight="1">
      <c r="A427" s="63"/>
      <c r="B427" s="66"/>
      <c r="C427" s="63"/>
      <c r="D427" s="63"/>
      <c r="E427" s="63"/>
      <c r="F427" s="63"/>
      <c r="G427" s="63"/>
      <c r="H427" s="63"/>
      <c r="I427" s="63"/>
      <c r="J427" s="63"/>
      <c r="K427" s="63"/>
      <c r="L427" s="66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5.75" customHeight="1">
      <c r="A428" s="63"/>
      <c r="B428" s="66"/>
      <c r="C428" s="63"/>
      <c r="D428" s="63"/>
      <c r="E428" s="63"/>
      <c r="F428" s="63"/>
      <c r="G428" s="63"/>
      <c r="H428" s="63"/>
      <c r="I428" s="63"/>
      <c r="J428" s="63"/>
      <c r="K428" s="63"/>
      <c r="L428" s="66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5.75" customHeight="1">
      <c r="A429" s="63"/>
      <c r="B429" s="66"/>
      <c r="C429" s="63"/>
      <c r="D429" s="63"/>
      <c r="E429" s="63"/>
      <c r="F429" s="63"/>
      <c r="G429" s="63"/>
      <c r="H429" s="63"/>
      <c r="I429" s="63"/>
      <c r="J429" s="63"/>
      <c r="K429" s="63"/>
      <c r="L429" s="66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5.75" customHeight="1">
      <c r="A430" s="63"/>
      <c r="B430" s="66"/>
      <c r="C430" s="63"/>
      <c r="D430" s="63"/>
      <c r="E430" s="63"/>
      <c r="F430" s="63"/>
      <c r="G430" s="63"/>
      <c r="H430" s="63"/>
      <c r="I430" s="63"/>
      <c r="J430" s="63"/>
      <c r="K430" s="63"/>
      <c r="L430" s="66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5.75" customHeight="1">
      <c r="A431" s="63"/>
      <c r="B431" s="66"/>
      <c r="C431" s="63"/>
      <c r="D431" s="63"/>
      <c r="E431" s="63"/>
      <c r="F431" s="63"/>
      <c r="G431" s="63"/>
      <c r="H431" s="63"/>
      <c r="I431" s="63"/>
      <c r="J431" s="63"/>
      <c r="K431" s="63"/>
      <c r="L431" s="66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5.75" customHeight="1">
      <c r="A432" s="63"/>
      <c r="B432" s="66"/>
      <c r="C432" s="63"/>
      <c r="D432" s="63"/>
      <c r="E432" s="63"/>
      <c r="F432" s="63"/>
      <c r="G432" s="63"/>
      <c r="H432" s="63"/>
      <c r="I432" s="63"/>
      <c r="J432" s="63"/>
      <c r="K432" s="63"/>
      <c r="L432" s="66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5.75" customHeight="1">
      <c r="A433" s="63"/>
      <c r="B433" s="66"/>
      <c r="C433" s="63"/>
      <c r="D433" s="63"/>
      <c r="E433" s="63"/>
      <c r="F433" s="63"/>
      <c r="G433" s="63"/>
      <c r="H433" s="63"/>
      <c r="I433" s="63"/>
      <c r="J433" s="63"/>
      <c r="K433" s="63"/>
      <c r="L433" s="66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5.75" customHeight="1">
      <c r="A434" s="63"/>
      <c r="B434" s="66"/>
      <c r="C434" s="63"/>
      <c r="D434" s="63"/>
      <c r="E434" s="63"/>
      <c r="F434" s="63"/>
      <c r="G434" s="63"/>
      <c r="H434" s="63"/>
      <c r="I434" s="63"/>
      <c r="J434" s="63"/>
      <c r="K434" s="63"/>
      <c r="L434" s="66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5.75" customHeight="1">
      <c r="A435" s="63"/>
      <c r="B435" s="66"/>
      <c r="C435" s="63"/>
      <c r="D435" s="63"/>
      <c r="E435" s="63"/>
      <c r="F435" s="63"/>
      <c r="G435" s="63"/>
      <c r="H435" s="63"/>
      <c r="I435" s="63"/>
      <c r="J435" s="63"/>
      <c r="K435" s="63"/>
      <c r="L435" s="66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5.75" customHeight="1">
      <c r="A436" s="63"/>
      <c r="B436" s="66"/>
      <c r="C436" s="63"/>
      <c r="D436" s="63"/>
      <c r="E436" s="63"/>
      <c r="F436" s="63"/>
      <c r="G436" s="63"/>
      <c r="H436" s="63"/>
      <c r="I436" s="63"/>
      <c r="J436" s="63"/>
      <c r="K436" s="63"/>
      <c r="L436" s="66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5.75" customHeight="1">
      <c r="A437" s="63"/>
      <c r="B437" s="66"/>
      <c r="C437" s="63"/>
      <c r="D437" s="63"/>
      <c r="E437" s="63"/>
      <c r="F437" s="63"/>
      <c r="G437" s="63"/>
      <c r="H437" s="63"/>
      <c r="I437" s="63"/>
      <c r="J437" s="63"/>
      <c r="K437" s="63"/>
      <c r="L437" s="66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5.75" customHeight="1">
      <c r="A438" s="63"/>
      <c r="B438" s="66"/>
      <c r="C438" s="63"/>
      <c r="D438" s="63"/>
      <c r="E438" s="63"/>
      <c r="F438" s="63"/>
      <c r="G438" s="63"/>
      <c r="H438" s="63"/>
      <c r="I438" s="63"/>
      <c r="J438" s="63"/>
      <c r="K438" s="63"/>
      <c r="L438" s="66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5.75" customHeight="1">
      <c r="A439" s="63"/>
      <c r="B439" s="66"/>
      <c r="C439" s="63"/>
      <c r="D439" s="63"/>
      <c r="E439" s="63"/>
      <c r="F439" s="63"/>
      <c r="G439" s="63"/>
      <c r="H439" s="63"/>
      <c r="I439" s="63"/>
      <c r="J439" s="63"/>
      <c r="K439" s="63"/>
      <c r="L439" s="66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5.75" customHeight="1">
      <c r="A440" s="63"/>
      <c r="B440" s="66"/>
      <c r="C440" s="63"/>
      <c r="D440" s="63"/>
      <c r="E440" s="63"/>
      <c r="F440" s="63"/>
      <c r="G440" s="63"/>
      <c r="H440" s="63"/>
      <c r="I440" s="63"/>
      <c r="J440" s="63"/>
      <c r="K440" s="63"/>
      <c r="L440" s="66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5.75" customHeight="1">
      <c r="A441" s="63"/>
      <c r="B441" s="66"/>
      <c r="C441" s="63"/>
      <c r="D441" s="63"/>
      <c r="E441" s="63"/>
      <c r="F441" s="63"/>
      <c r="G441" s="63"/>
      <c r="H441" s="63"/>
      <c r="I441" s="63"/>
      <c r="J441" s="63"/>
      <c r="K441" s="63"/>
      <c r="L441" s="66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5.75" customHeight="1">
      <c r="A442" s="63"/>
      <c r="B442" s="66"/>
      <c r="C442" s="63"/>
      <c r="D442" s="63"/>
      <c r="E442" s="63"/>
      <c r="F442" s="63"/>
      <c r="G442" s="63"/>
      <c r="H442" s="63"/>
      <c r="I442" s="63"/>
      <c r="J442" s="63"/>
      <c r="K442" s="63"/>
      <c r="L442" s="66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5.75" customHeight="1">
      <c r="A443" s="63"/>
      <c r="B443" s="66"/>
      <c r="C443" s="63"/>
      <c r="D443" s="63"/>
      <c r="E443" s="63"/>
      <c r="F443" s="63"/>
      <c r="G443" s="63"/>
      <c r="H443" s="63"/>
      <c r="I443" s="63"/>
      <c r="J443" s="63"/>
      <c r="K443" s="63"/>
      <c r="L443" s="66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5.75" customHeight="1">
      <c r="A444" s="63"/>
      <c r="B444" s="66"/>
      <c r="C444" s="63"/>
      <c r="D444" s="63"/>
      <c r="E444" s="63"/>
      <c r="F444" s="63"/>
      <c r="G444" s="63"/>
      <c r="H444" s="63"/>
      <c r="I444" s="63"/>
      <c r="J444" s="63"/>
      <c r="K444" s="63"/>
      <c r="L444" s="66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5.75" customHeight="1">
      <c r="A445" s="63"/>
      <c r="B445" s="66"/>
      <c r="C445" s="63"/>
      <c r="D445" s="63"/>
      <c r="E445" s="63"/>
      <c r="F445" s="63"/>
      <c r="G445" s="63"/>
      <c r="H445" s="63"/>
      <c r="I445" s="63"/>
      <c r="J445" s="63"/>
      <c r="K445" s="63"/>
      <c r="L445" s="66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5.75" customHeight="1">
      <c r="A446" s="63"/>
      <c r="B446" s="66"/>
      <c r="C446" s="63"/>
      <c r="D446" s="63"/>
      <c r="E446" s="63"/>
      <c r="F446" s="63"/>
      <c r="G446" s="63"/>
      <c r="H446" s="63"/>
      <c r="I446" s="63"/>
      <c r="J446" s="63"/>
      <c r="K446" s="63"/>
      <c r="L446" s="66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5.75" customHeight="1">
      <c r="A447" s="63"/>
      <c r="B447" s="66"/>
      <c r="C447" s="63"/>
      <c r="D447" s="63"/>
      <c r="E447" s="63"/>
      <c r="F447" s="63"/>
      <c r="G447" s="63"/>
      <c r="H447" s="63"/>
      <c r="I447" s="63"/>
      <c r="J447" s="63"/>
      <c r="K447" s="63"/>
      <c r="L447" s="66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5.75" customHeight="1">
      <c r="A448" s="63"/>
      <c r="B448" s="66"/>
      <c r="C448" s="63"/>
      <c r="D448" s="63"/>
      <c r="E448" s="63"/>
      <c r="F448" s="63"/>
      <c r="G448" s="63"/>
      <c r="H448" s="63"/>
      <c r="I448" s="63"/>
      <c r="J448" s="63"/>
      <c r="K448" s="63"/>
      <c r="L448" s="66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5.75" customHeight="1">
      <c r="A449" s="63"/>
      <c r="B449" s="66"/>
      <c r="C449" s="63"/>
      <c r="D449" s="63"/>
      <c r="E449" s="63"/>
      <c r="F449" s="63"/>
      <c r="G449" s="63"/>
      <c r="H449" s="63"/>
      <c r="I449" s="63"/>
      <c r="J449" s="63"/>
      <c r="K449" s="63"/>
      <c r="L449" s="66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5.75" customHeight="1">
      <c r="A450" s="63"/>
      <c r="B450" s="66"/>
      <c r="C450" s="63"/>
      <c r="D450" s="63"/>
      <c r="E450" s="63"/>
      <c r="F450" s="63"/>
      <c r="G450" s="63"/>
      <c r="H450" s="63"/>
      <c r="I450" s="63"/>
      <c r="J450" s="63"/>
      <c r="K450" s="63"/>
      <c r="L450" s="66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5.75" customHeight="1">
      <c r="A451" s="63"/>
      <c r="B451" s="66"/>
      <c r="C451" s="63"/>
      <c r="D451" s="63"/>
      <c r="E451" s="63"/>
      <c r="F451" s="63"/>
      <c r="G451" s="63"/>
      <c r="H451" s="63"/>
      <c r="I451" s="63"/>
      <c r="J451" s="63"/>
      <c r="K451" s="63"/>
      <c r="L451" s="66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5.75" customHeight="1">
      <c r="A452" s="63"/>
      <c r="B452" s="66"/>
      <c r="C452" s="63"/>
      <c r="D452" s="63"/>
      <c r="E452" s="63"/>
      <c r="F452" s="63"/>
      <c r="G452" s="63"/>
      <c r="H452" s="63"/>
      <c r="I452" s="63"/>
      <c r="J452" s="63"/>
      <c r="K452" s="63"/>
      <c r="L452" s="66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5.75" customHeight="1">
      <c r="A453" s="63"/>
      <c r="B453" s="66"/>
      <c r="C453" s="63"/>
      <c r="D453" s="63"/>
      <c r="E453" s="63"/>
      <c r="F453" s="63"/>
      <c r="G453" s="63"/>
      <c r="H453" s="63"/>
      <c r="I453" s="63"/>
      <c r="J453" s="63"/>
      <c r="K453" s="63"/>
      <c r="L453" s="66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5.75" customHeight="1">
      <c r="A454" s="63"/>
      <c r="B454" s="66"/>
      <c r="C454" s="63"/>
      <c r="D454" s="63"/>
      <c r="E454" s="63"/>
      <c r="F454" s="63"/>
      <c r="G454" s="63"/>
      <c r="H454" s="63"/>
      <c r="I454" s="63"/>
      <c r="J454" s="63"/>
      <c r="K454" s="63"/>
      <c r="L454" s="66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5.75" customHeight="1">
      <c r="A455" s="63"/>
      <c r="B455" s="66"/>
      <c r="C455" s="63"/>
      <c r="D455" s="63"/>
      <c r="E455" s="63"/>
      <c r="F455" s="63"/>
      <c r="G455" s="63"/>
      <c r="H455" s="63"/>
      <c r="I455" s="63"/>
      <c r="J455" s="63"/>
      <c r="K455" s="63"/>
      <c r="L455" s="66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5.75" customHeight="1">
      <c r="A456" s="63"/>
      <c r="B456" s="66"/>
      <c r="C456" s="63"/>
      <c r="D456" s="63"/>
      <c r="E456" s="63"/>
      <c r="F456" s="63"/>
      <c r="G456" s="63"/>
      <c r="H456" s="63"/>
      <c r="I456" s="63"/>
      <c r="J456" s="63"/>
      <c r="K456" s="63"/>
      <c r="L456" s="66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5.75" customHeight="1">
      <c r="A457" s="63"/>
      <c r="B457" s="66"/>
      <c r="C457" s="63"/>
      <c r="D457" s="63"/>
      <c r="E457" s="63"/>
      <c r="F457" s="63"/>
      <c r="G457" s="63"/>
      <c r="H457" s="63"/>
      <c r="I457" s="63"/>
      <c r="J457" s="63"/>
      <c r="K457" s="63"/>
      <c r="L457" s="66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5.75" customHeight="1">
      <c r="A458" s="63"/>
      <c r="B458" s="66"/>
      <c r="C458" s="63"/>
      <c r="D458" s="63"/>
      <c r="E458" s="63"/>
      <c r="F458" s="63"/>
      <c r="G458" s="63"/>
      <c r="H458" s="63"/>
      <c r="I458" s="63"/>
      <c r="J458" s="63"/>
      <c r="K458" s="63"/>
      <c r="L458" s="66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5.75" customHeight="1">
      <c r="A459" s="63"/>
      <c r="B459" s="66"/>
      <c r="C459" s="63"/>
      <c r="D459" s="63"/>
      <c r="E459" s="63"/>
      <c r="F459" s="63"/>
      <c r="G459" s="63"/>
      <c r="H459" s="63"/>
      <c r="I459" s="63"/>
      <c r="J459" s="63"/>
      <c r="K459" s="63"/>
      <c r="L459" s="66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5.75" customHeight="1">
      <c r="A460" s="63"/>
      <c r="B460" s="66"/>
      <c r="C460" s="63"/>
      <c r="D460" s="63"/>
      <c r="E460" s="63"/>
      <c r="F460" s="63"/>
      <c r="G460" s="63"/>
      <c r="H460" s="63"/>
      <c r="I460" s="63"/>
      <c r="J460" s="63"/>
      <c r="K460" s="63"/>
      <c r="L460" s="66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5.75" customHeight="1">
      <c r="A461" s="63"/>
      <c r="B461" s="66"/>
      <c r="C461" s="63"/>
      <c r="D461" s="63"/>
      <c r="E461" s="63"/>
      <c r="F461" s="63"/>
      <c r="G461" s="63"/>
      <c r="H461" s="63"/>
      <c r="I461" s="63"/>
      <c r="J461" s="63"/>
      <c r="K461" s="63"/>
      <c r="L461" s="66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5.75" customHeight="1">
      <c r="A462" s="63"/>
      <c r="B462" s="66"/>
      <c r="C462" s="63"/>
      <c r="D462" s="63"/>
      <c r="E462" s="63"/>
      <c r="F462" s="63"/>
      <c r="G462" s="63"/>
      <c r="H462" s="63"/>
      <c r="I462" s="63"/>
      <c r="J462" s="63"/>
      <c r="K462" s="63"/>
      <c r="L462" s="66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5.75" customHeight="1">
      <c r="A463" s="63"/>
      <c r="B463" s="66"/>
      <c r="C463" s="63"/>
      <c r="D463" s="63"/>
      <c r="E463" s="63"/>
      <c r="F463" s="63"/>
      <c r="G463" s="63"/>
      <c r="H463" s="63"/>
      <c r="I463" s="63"/>
      <c r="J463" s="63"/>
      <c r="K463" s="63"/>
      <c r="L463" s="66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5.75" customHeight="1">
      <c r="A464" s="63"/>
      <c r="B464" s="66"/>
      <c r="C464" s="63"/>
      <c r="D464" s="63"/>
      <c r="E464" s="63"/>
      <c r="F464" s="63"/>
      <c r="G464" s="63"/>
      <c r="H464" s="63"/>
      <c r="I464" s="63"/>
      <c r="J464" s="63"/>
      <c r="K464" s="63"/>
      <c r="L464" s="66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5.75" customHeight="1">
      <c r="A465" s="63"/>
      <c r="B465" s="66"/>
      <c r="C465" s="63"/>
      <c r="D465" s="63"/>
      <c r="E465" s="63"/>
      <c r="F465" s="63"/>
      <c r="G465" s="63"/>
      <c r="H465" s="63"/>
      <c r="I465" s="63"/>
      <c r="J465" s="63"/>
      <c r="K465" s="63"/>
      <c r="L465" s="66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5.75" customHeight="1">
      <c r="A466" s="63"/>
      <c r="B466" s="66"/>
      <c r="C466" s="63"/>
      <c r="D466" s="63"/>
      <c r="E466" s="63"/>
      <c r="F466" s="63"/>
      <c r="G466" s="63"/>
      <c r="H466" s="63"/>
      <c r="I466" s="63"/>
      <c r="J466" s="63"/>
      <c r="K466" s="63"/>
      <c r="L466" s="66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5.75" customHeight="1">
      <c r="A467" s="63"/>
      <c r="B467" s="66"/>
      <c r="C467" s="63"/>
      <c r="D467" s="63"/>
      <c r="E467" s="63"/>
      <c r="F467" s="63"/>
      <c r="G467" s="63"/>
      <c r="H467" s="63"/>
      <c r="I467" s="63"/>
      <c r="J467" s="63"/>
      <c r="K467" s="63"/>
      <c r="L467" s="66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5.75" customHeight="1">
      <c r="A468" s="63"/>
      <c r="B468" s="66"/>
      <c r="C468" s="63"/>
      <c r="D468" s="63"/>
      <c r="E468" s="63"/>
      <c r="F468" s="63"/>
      <c r="G468" s="63"/>
      <c r="H468" s="63"/>
      <c r="I468" s="63"/>
      <c r="J468" s="63"/>
      <c r="K468" s="63"/>
      <c r="L468" s="66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5.75" customHeight="1">
      <c r="A469" s="63"/>
      <c r="B469" s="66"/>
      <c r="C469" s="63"/>
      <c r="D469" s="63"/>
      <c r="E469" s="63"/>
      <c r="F469" s="63"/>
      <c r="G469" s="63"/>
      <c r="H469" s="63"/>
      <c r="I469" s="63"/>
      <c r="J469" s="63"/>
      <c r="K469" s="63"/>
      <c r="L469" s="66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5.75" customHeight="1">
      <c r="A470" s="63"/>
      <c r="B470" s="66"/>
      <c r="C470" s="63"/>
      <c r="D470" s="63"/>
      <c r="E470" s="63"/>
      <c r="F470" s="63"/>
      <c r="G470" s="63"/>
      <c r="H470" s="63"/>
      <c r="I470" s="63"/>
      <c r="J470" s="63"/>
      <c r="K470" s="63"/>
      <c r="L470" s="66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5.75" customHeight="1">
      <c r="A471" s="63"/>
      <c r="B471" s="66"/>
      <c r="C471" s="63"/>
      <c r="D471" s="63"/>
      <c r="E471" s="63"/>
      <c r="F471" s="63"/>
      <c r="G471" s="63"/>
      <c r="H471" s="63"/>
      <c r="I471" s="63"/>
      <c r="J471" s="63"/>
      <c r="K471" s="63"/>
      <c r="L471" s="66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5.75" customHeight="1">
      <c r="A472" s="63"/>
      <c r="B472" s="66"/>
      <c r="C472" s="63"/>
      <c r="D472" s="63"/>
      <c r="E472" s="63"/>
      <c r="F472" s="63"/>
      <c r="G472" s="63"/>
      <c r="H472" s="63"/>
      <c r="I472" s="63"/>
      <c r="J472" s="63"/>
      <c r="K472" s="63"/>
      <c r="L472" s="66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5.75" customHeight="1">
      <c r="A473" s="63"/>
      <c r="B473" s="66"/>
      <c r="C473" s="63"/>
      <c r="D473" s="63"/>
      <c r="E473" s="63"/>
      <c r="F473" s="63"/>
      <c r="G473" s="63"/>
      <c r="H473" s="63"/>
      <c r="I473" s="63"/>
      <c r="J473" s="63"/>
      <c r="K473" s="63"/>
      <c r="L473" s="66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5.75" customHeight="1">
      <c r="A474" s="63"/>
      <c r="B474" s="66"/>
      <c r="C474" s="63"/>
      <c r="D474" s="63"/>
      <c r="E474" s="63"/>
      <c r="F474" s="63"/>
      <c r="G474" s="63"/>
      <c r="H474" s="63"/>
      <c r="I474" s="63"/>
      <c r="J474" s="63"/>
      <c r="K474" s="63"/>
      <c r="L474" s="66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5.75" customHeight="1">
      <c r="A475" s="63"/>
      <c r="B475" s="66"/>
      <c r="C475" s="63"/>
      <c r="D475" s="63"/>
      <c r="E475" s="63"/>
      <c r="F475" s="63"/>
      <c r="G475" s="63"/>
      <c r="H475" s="63"/>
      <c r="I475" s="63"/>
      <c r="J475" s="63"/>
      <c r="K475" s="63"/>
      <c r="L475" s="66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5.75" customHeight="1">
      <c r="A476" s="63"/>
      <c r="B476" s="66"/>
      <c r="C476" s="63"/>
      <c r="D476" s="63"/>
      <c r="E476" s="63"/>
      <c r="F476" s="63"/>
      <c r="G476" s="63"/>
      <c r="H476" s="63"/>
      <c r="I476" s="63"/>
      <c r="J476" s="63"/>
      <c r="K476" s="63"/>
      <c r="L476" s="66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5.75" customHeight="1">
      <c r="A477" s="63"/>
      <c r="B477" s="66"/>
      <c r="C477" s="63"/>
      <c r="D477" s="63"/>
      <c r="E477" s="63"/>
      <c r="F477" s="63"/>
      <c r="G477" s="63"/>
      <c r="H477" s="63"/>
      <c r="I477" s="63"/>
      <c r="J477" s="63"/>
      <c r="K477" s="63"/>
      <c r="L477" s="66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5.75" customHeight="1">
      <c r="A478" s="63"/>
      <c r="B478" s="66"/>
      <c r="C478" s="63"/>
      <c r="D478" s="63"/>
      <c r="E478" s="63"/>
      <c r="F478" s="63"/>
      <c r="G478" s="63"/>
      <c r="H478" s="63"/>
      <c r="I478" s="63"/>
      <c r="J478" s="63"/>
      <c r="K478" s="63"/>
      <c r="L478" s="66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5.75" customHeight="1">
      <c r="A479" s="63"/>
      <c r="B479" s="66"/>
      <c r="C479" s="63"/>
      <c r="D479" s="63"/>
      <c r="E479" s="63"/>
      <c r="F479" s="63"/>
      <c r="G479" s="63"/>
      <c r="H479" s="63"/>
      <c r="I479" s="63"/>
      <c r="J479" s="63"/>
      <c r="K479" s="63"/>
      <c r="L479" s="66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5.75" customHeight="1">
      <c r="A480" s="63"/>
      <c r="B480" s="66"/>
      <c r="C480" s="63"/>
      <c r="D480" s="63"/>
      <c r="E480" s="63"/>
      <c r="F480" s="63"/>
      <c r="G480" s="63"/>
      <c r="H480" s="63"/>
      <c r="I480" s="63"/>
      <c r="J480" s="63"/>
      <c r="K480" s="63"/>
      <c r="L480" s="66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5.75" customHeight="1">
      <c r="A481" s="63"/>
      <c r="B481" s="66"/>
      <c r="C481" s="63"/>
      <c r="D481" s="63"/>
      <c r="E481" s="63"/>
      <c r="F481" s="63"/>
      <c r="G481" s="63"/>
      <c r="H481" s="63"/>
      <c r="I481" s="63"/>
      <c r="J481" s="63"/>
      <c r="K481" s="63"/>
      <c r="L481" s="66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5.75" customHeight="1">
      <c r="A482" s="63"/>
      <c r="B482" s="66"/>
      <c r="C482" s="63"/>
      <c r="D482" s="63"/>
      <c r="E482" s="63"/>
      <c r="F482" s="63"/>
      <c r="G482" s="63"/>
      <c r="H482" s="63"/>
      <c r="I482" s="63"/>
      <c r="J482" s="63"/>
      <c r="K482" s="63"/>
      <c r="L482" s="66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5.75" customHeight="1">
      <c r="A483" s="63"/>
      <c r="B483" s="66"/>
      <c r="C483" s="63"/>
      <c r="D483" s="63"/>
      <c r="E483" s="63"/>
      <c r="F483" s="63"/>
      <c r="G483" s="63"/>
      <c r="H483" s="63"/>
      <c r="I483" s="63"/>
      <c r="J483" s="63"/>
      <c r="K483" s="63"/>
      <c r="L483" s="66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5.75" customHeight="1">
      <c r="A484" s="63"/>
      <c r="B484" s="66"/>
      <c r="C484" s="63"/>
      <c r="D484" s="63"/>
      <c r="E484" s="63"/>
      <c r="F484" s="63"/>
      <c r="G484" s="63"/>
      <c r="H484" s="63"/>
      <c r="I484" s="63"/>
      <c r="J484" s="63"/>
      <c r="K484" s="63"/>
      <c r="L484" s="66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5.75" customHeight="1">
      <c r="A485" s="63"/>
      <c r="B485" s="66"/>
      <c r="C485" s="63"/>
      <c r="D485" s="63"/>
      <c r="E485" s="63"/>
      <c r="F485" s="63"/>
      <c r="G485" s="63"/>
      <c r="H485" s="63"/>
      <c r="I485" s="63"/>
      <c r="J485" s="63"/>
      <c r="K485" s="63"/>
      <c r="L485" s="66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5.75" customHeight="1">
      <c r="A486" s="63"/>
      <c r="B486" s="66"/>
      <c r="C486" s="63"/>
      <c r="D486" s="63"/>
      <c r="E486" s="63"/>
      <c r="F486" s="63"/>
      <c r="G486" s="63"/>
      <c r="H486" s="63"/>
      <c r="I486" s="63"/>
      <c r="J486" s="63"/>
      <c r="K486" s="63"/>
      <c r="L486" s="66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5.75" customHeight="1">
      <c r="A487" s="63"/>
      <c r="B487" s="66"/>
      <c r="C487" s="63"/>
      <c r="D487" s="63"/>
      <c r="E487" s="63"/>
      <c r="F487" s="63"/>
      <c r="G487" s="63"/>
      <c r="H487" s="63"/>
      <c r="I487" s="63"/>
      <c r="J487" s="63"/>
      <c r="K487" s="63"/>
      <c r="L487" s="66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5.75" customHeight="1">
      <c r="A488" s="63"/>
      <c r="B488" s="66"/>
      <c r="C488" s="63"/>
      <c r="D488" s="63"/>
      <c r="E488" s="63"/>
      <c r="F488" s="63"/>
      <c r="G488" s="63"/>
      <c r="H488" s="63"/>
      <c r="I488" s="63"/>
      <c r="J488" s="63"/>
      <c r="K488" s="63"/>
      <c r="L488" s="66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5.75" customHeight="1">
      <c r="A489" s="63"/>
      <c r="B489" s="66"/>
      <c r="C489" s="63"/>
      <c r="D489" s="63"/>
      <c r="E489" s="63"/>
      <c r="F489" s="63"/>
      <c r="G489" s="63"/>
      <c r="H489" s="63"/>
      <c r="I489" s="63"/>
      <c r="J489" s="63"/>
      <c r="K489" s="63"/>
      <c r="L489" s="66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5.75" customHeight="1">
      <c r="A490" s="63"/>
      <c r="B490" s="66"/>
      <c r="C490" s="63"/>
      <c r="D490" s="63"/>
      <c r="E490" s="63"/>
      <c r="F490" s="63"/>
      <c r="G490" s="63"/>
      <c r="H490" s="63"/>
      <c r="I490" s="63"/>
      <c r="J490" s="63"/>
      <c r="K490" s="63"/>
      <c r="L490" s="66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5.75" customHeight="1">
      <c r="A491" s="63"/>
      <c r="B491" s="66"/>
      <c r="C491" s="63"/>
      <c r="D491" s="63"/>
      <c r="E491" s="63"/>
      <c r="F491" s="63"/>
      <c r="G491" s="63"/>
      <c r="H491" s="63"/>
      <c r="I491" s="63"/>
      <c r="J491" s="63"/>
      <c r="K491" s="63"/>
      <c r="L491" s="66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5.75" customHeight="1">
      <c r="A492" s="63"/>
      <c r="B492" s="66"/>
      <c r="C492" s="63"/>
      <c r="D492" s="63"/>
      <c r="E492" s="63"/>
      <c r="F492" s="63"/>
      <c r="G492" s="63"/>
      <c r="H492" s="63"/>
      <c r="I492" s="63"/>
      <c r="J492" s="63"/>
      <c r="K492" s="63"/>
      <c r="L492" s="66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5.75" customHeight="1">
      <c r="A493" s="63"/>
      <c r="B493" s="66"/>
      <c r="C493" s="63"/>
      <c r="D493" s="63"/>
      <c r="E493" s="63"/>
      <c r="F493" s="63"/>
      <c r="G493" s="63"/>
      <c r="H493" s="63"/>
      <c r="I493" s="63"/>
      <c r="J493" s="63"/>
      <c r="K493" s="63"/>
      <c r="L493" s="66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5.75" customHeight="1">
      <c r="A494" s="63"/>
      <c r="B494" s="66"/>
      <c r="C494" s="63"/>
      <c r="D494" s="63"/>
      <c r="E494" s="63"/>
      <c r="F494" s="63"/>
      <c r="G494" s="63"/>
      <c r="H494" s="63"/>
      <c r="I494" s="63"/>
      <c r="J494" s="63"/>
      <c r="K494" s="63"/>
      <c r="L494" s="66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5.75" customHeight="1">
      <c r="A495" s="63"/>
      <c r="B495" s="66"/>
      <c r="C495" s="63"/>
      <c r="D495" s="63"/>
      <c r="E495" s="63"/>
      <c r="F495" s="63"/>
      <c r="G495" s="63"/>
      <c r="H495" s="63"/>
      <c r="I495" s="63"/>
      <c r="J495" s="63"/>
      <c r="K495" s="63"/>
      <c r="L495" s="66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5.75" customHeight="1">
      <c r="A496" s="63"/>
      <c r="B496" s="66"/>
      <c r="C496" s="63"/>
      <c r="D496" s="63"/>
      <c r="E496" s="63"/>
      <c r="F496" s="63"/>
      <c r="G496" s="63"/>
      <c r="H496" s="63"/>
      <c r="I496" s="63"/>
      <c r="J496" s="63"/>
      <c r="K496" s="63"/>
      <c r="L496" s="66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5.75" customHeight="1">
      <c r="A497" s="63"/>
      <c r="B497" s="66"/>
      <c r="C497" s="63"/>
      <c r="D497" s="63"/>
      <c r="E497" s="63"/>
      <c r="F497" s="63"/>
      <c r="G497" s="63"/>
      <c r="H497" s="63"/>
      <c r="I497" s="63"/>
      <c r="J497" s="63"/>
      <c r="K497" s="63"/>
      <c r="L497" s="66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5.75" customHeight="1">
      <c r="A498" s="63"/>
      <c r="B498" s="66"/>
      <c r="C498" s="63"/>
      <c r="D498" s="63"/>
      <c r="E498" s="63"/>
      <c r="F498" s="63"/>
      <c r="G498" s="63"/>
      <c r="H498" s="63"/>
      <c r="I498" s="63"/>
      <c r="J498" s="63"/>
      <c r="K498" s="63"/>
      <c r="L498" s="66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5.75" customHeight="1">
      <c r="A499" s="63"/>
      <c r="B499" s="66"/>
      <c r="C499" s="63"/>
      <c r="D499" s="63"/>
      <c r="E499" s="63"/>
      <c r="F499" s="63"/>
      <c r="G499" s="63"/>
      <c r="H499" s="63"/>
      <c r="I499" s="63"/>
      <c r="J499" s="63"/>
      <c r="K499" s="63"/>
      <c r="L499" s="66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5.75" customHeight="1">
      <c r="A500" s="63"/>
      <c r="B500" s="66"/>
      <c r="C500" s="63"/>
      <c r="D500" s="63"/>
      <c r="E500" s="63"/>
      <c r="F500" s="63"/>
      <c r="G500" s="63"/>
      <c r="H500" s="63"/>
      <c r="I500" s="63"/>
      <c r="J500" s="63"/>
      <c r="K500" s="63"/>
      <c r="L500" s="66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5.75" customHeight="1">
      <c r="A501" s="63"/>
      <c r="B501" s="66"/>
      <c r="C501" s="63"/>
      <c r="D501" s="63"/>
      <c r="E501" s="63"/>
      <c r="F501" s="63"/>
      <c r="G501" s="63"/>
      <c r="H501" s="63"/>
      <c r="I501" s="63"/>
      <c r="J501" s="63"/>
      <c r="K501" s="63"/>
      <c r="L501" s="66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5.75" customHeight="1">
      <c r="A502" s="63"/>
      <c r="B502" s="66"/>
      <c r="C502" s="63"/>
      <c r="D502" s="63"/>
      <c r="E502" s="63"/>
      <c r="F502" s="63"/>
      <c r="G502" s="63"/>
      <c r="H502" s="63"/>
      <c r="I502" s="63"/>
      <c r="J502" s="63"/>
      <c r="K502" s="63"/>
      <c r="L502" s="66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5.75" customHeight="1">
      <c r="A503" s="63"/>
      <c r="B503" s="66"/>
      <c r="C503" s="63"/>
      <c r="D503" s="63"/>
      <c r="E503" s="63"/>
      <c r="F503" s="63"/>
      <c r="G503" s="63"/>
      <c r="H503" s="63"/>
      <c r="I503" s="63"/>
      <c r="J503" s="63"/>
      <c r="K503" s="63"/>
      <c r="L503" s="66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5.75" customHeight="1">
      <c r="A504" s="63"/>
      <c r="B504" s="66"/>
      <c r="C504" s="63"/>
      <c r="D504" s="63"/>
      <c r="E504" s="63"/>
      <c r="F504" s="63"/>
      <c r="G504" s="63"/>
      <c r="H504" s="63"/>
      <c r="I504" s="63"/>
      <c r="J504" s="63"/>
      <c r="K504" s="63"/>
      <c r="L504" s="66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5.75" customHeight="1">
      <c r="A505" s="63"/>
      <c r="B505" s="66"/>
      <c r="C505" s="63"/>
      <c r="D505" s="63"/>
      <c r="E505" s="63"/>
      <c r="F505" s="63"/>
      <c r="G505" s="63"/>
      <c r="H505" s="63"/>
      <c r="I505" s="63"/>
      <c r="J505" s="63"/>
      <c r="K505" s="63"/>
      <c r="L505" s="66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5.75" customHeight="1">
      <c r="A506" s="63"/>
      <c r="B506" s="66"/>
      <c r="C506" s="63"/>
      <c r="D506" s="63"/>
      <c r="E506" s="63"/>
      <c r="F506" s="63"/>
      <c r="G506" s="63"/>
      <c r="H506" s="63"/>
      <c r="I506" s="63"/>
      <c r="J506" s="63"/>
      <c r="K506" s="63"/>
      <c r="L506" s="66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5.75" customHeight="1">
      <c r="A507" s="63"/>
      <c r="B507" s="66"/>
      <c r="C507" s="63"/>
      <c r="D507" s="63"/>
      <c r="E507" s="63"/>
      <c r="F507" s="63"/>
      <c r="G507" s="63"/>
      <c r="H507" s="63"/>
      <c r="I507" s="63"/>
      <c r="J507" s="63"/>
      <c r="K507" s="63"/>
      <c r="L507" s="66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5.75" customHeight="1">
      <c r="A508" s="63"/>
      <c r="B508" s="66"/>
      <c r="C508" s="63"/>
      <c r="D508" s="63"/>
      <c r="E508" s="63"/>
      <c r="F508" s="63"/>
      <c r="G508" s="63"/>
      <c r="H508" s="63"/>
      <c r="I508" s="63"/>
      <c r="J508" s="63"/>
      <c r="K508" s="63"/>
      <c r="L508" s="66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5.75" customHeight="1">
      <c r="A509" s="63"/>
      <c r="B509" s="66"/>
      <c r="C509" s="63"/>
      <c r="D509" s="63"/>
      <c r="E509" s="63"/>
      <c r="F509" s="63"/>
      <c r="G509" s="63"/>
      <c r="H509" s="63"/>
      <c r="I509" s="63"/>
      <c r="J509" s="63"/>
      <c r="K509" s="63"/>
      <c r="L509" s="66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5.75" customHeight="1">
      <c r="A510" s="63"/>
      <c r="B510" s="66"/>
      <c r="C510" s="63"/>
      <c r="D510" s="63"/>
      <c r="E510" s="63"/>
      <c r="F510" s="63"/>
      <c r="G510" s="63"/>
      <c r="H510" s="63"/>
      <c r="I510" s="63"/>
      <c r="J510" s="63"/>
      <c r="K510" s="63"/>
      <c r="L510" s="66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5.75" customHeight="1">
      <c r="A511" s="63"/>
      <c r="B511" s="66"/>
      <c r="C511" s="63"/>
      <c r="D511" s="63"/>
      <c r="E511" s="63"/>
      <c r="F511" s="63"/>
      <c r="G511" s="63"/>
      <c r="H511" s="63"/>
      <c r="I511" s="63"/>
      <c r="J511" s="63"/>
      <c r="K511" s="63"/>
      <c r="L511" s="66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5.75" customHeight="1">
      <c r="A512" s="63"/>
      <c r="B512" s="66"/>
      <c r="C512" s="63"/>
      <c r="D512" s="63"/>
      <c r="E512" s="63"/>
      <c r="F512" s="63"/>
      <c r="G512" s="63"/>
      <c r="H512" s="63"/>
      <c r="I512" s="63"/>
      <c r="J512" s="63"/>
      <c r="K512" s="63"/>
      <c r="L512" s="66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5.75" customHeight="1">
      <c r="A513" s="63"/>
      <c r="B513" s="66"/>
      <c r="C513" s="63"/>
      <c r="D513" s="63"/>
      <c r="E513" s="63"/>
      <c r="F513" s="63"/>
      <c r="G513" s="63"/>
      <c r="H513" s="63"/>
      <c r="I513" s="63"/>
      <c r="J513" s="63"/>
      <c r="K513" s="63"/>
      <c r="L513" s="66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5.75" customHeight="1">
      <c r="A514" s="63"/>
      <c r="B514" s="66"/>
      <c r="C514" s="63"/>
      <c r="D514" s="63"/>
      <c r="E514" s="63"/>
      <c r="F514" s="63"/>
      <c r="G514" s="63"/>
      <c r="H514" s="63"/>
      <c r="I514" s="63"/>
      <c r="J514" s="63"/>
      <c r="K514" s="63"/>
      <c r="L514" s="66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5.75" customHeight="1">
      <c r="A515" s="63"/>
      <c r="B515" s="66"/>
      <c r="C515" s="63"/>
      <c r="D515" s="63"/>
      <c r="E515" s="63"/>
      <c r="F515" s="63"/>
      <c r="G515" s="63"/>
      <c r="H515" s="63"/>
      <c r="I515" s="63"/>
      <c r="J515" s="63"/>
      <c r="K515" s="63"/>
      <c r="L515" s="66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5.75" customHeight="1">
      <c r="A516" s="63"/>
      <c r="B516" s="66"/>
      <c r="C516" s="63"/>
      <c r="D516" s="63"/>
      <c r="E516" s="63"/>
      <c r="F516" s="63"/>
      <c r="G516" s="63"/>
      <c r="H516" s="63"/>
      <c r="I516" s="63"/>
      <c r="J516" s="63"/>
      <c r="K516" s="63"/>
      <c r="L516" s="66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5.75" customHeight="1">
      <c r="A517" s="63"/>
      <c r="B517" s="66"/>
      <c r="C517" s="63"/>
      <c r="D517" s="63"/>
      <c r="E517" s="63"/>
      <c r="F517" s="63"/>
      <c r="G517" s="63"/>
      <c r="H517" s="63"/>
      <c r="I517" s="63"/>
      <c r="J517" s="63"/>
      <c r="K517" s="63"/>
      <c r="L517" s="66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5.75" customHeight="1">
      <c r="A518" s="63"/>
      <c r="B518" s="66"/>
      <c r="C518" s="63"/>
      <c r="D518" s="63"/>
      <c r="E518" s="63"/>
      <c r="F518" s="63"/>
      <c r="G518" s="63"/>
      <c r="H518" s="63"/>
      <c r="I518" s="63"/>
      <c r="J518" s="63"/>
      <c r="K518" s="63"/>
      <c r="L518" s="66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5.75" customHeight="1">
      <c r="A519" s="63"/>
      <c r="B519" s="66"/>
      <c r="C519" s="63"/>
      <c r="D519" s="63"/>
      <c r="E519" s="63"/>
      <c r="F519" s="63"/>
      <c r="G519" s="63"/>
      <c r="H519" s="63"/>
      <c r="I519" s="63"/>
      <c r="J519" s="63"/>
      <c r="K519" s="63"/>
      <c r="L519" s="66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5.75" customHeight="1">
      <c r="A520" s="63"/>
      <c r="B520" s="66"/>
      <c r="C520" s="63"/>
      <c r="D520" s="63"/>
      <c r="E520" s="63"/>
      <c r="F520" s="63"/>
      <c r="G520" s="63"/>
      <c r="H520" s="63"/>
      <c r="I520" s="63"/>
      <c r="J520" s="63"/>
      <c r="K520" s="63"/>
      <c r="L520" s="66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5.75" customHeight="1">
      <c r="A521" s="63"/>
      <c r="B521" s="66"/>
      <c r="C521" s="63"/>
      <c r="D521" s="63"/>
      <c r="E521" s="63"/>
      <c r="F521" s="63"/>
      <c r="G521" s="63"/>
      <c r="H521" s="63"/>
      <c r="I521" s="63"/>
      <c r="J521" s="63"/>
      <c r="K521" s="63"/>
      <c r="L521" s="66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5.75" customHeight="1">
      <c r="A522" s="63"/>
      <c r="B522" s="66"/>
      <c r="C522" s="63"/>
      <c r="D522" s="63"/>
      <c r="E522" s="63"/>
      <c r="F522" s="63"/>
      <c r="G522" s="63"/>
      <c r="H522" s="63"/>
      <c r="I522" s="63"/>
      <c r="J522" s="63"/>
      <c r="K522" s="63"/>
      <c r="L522" s="66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5.75" customHeight="1">
      <c r="A523" s="63"/>
      <c r="B523" s="66"/>
      <c r="C523" s="63"/>
      <c r="D523" s="63"/>
      <c r="E523" s="63"/>
      <c r="F523" s="63"/>
      <c r="G523" s="63"/>
      <c r="H523" s="63"/>
      <c r="I523" s="63"/>
      <c r="J523" s="63"/>
      <c r="K523" s="63"/>
      <c r="L523" s="66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5.75" customHeight="1">
      <c r="A524" s="63"/>
      <c r="B524" s="66"/>
      <c r="C524" s="63"/>
      <c r="D524" s="63"/>
      <c r="E524" s="63"/>
      <c r="F524" s="63"/>
      <c r="G524" s="63"/>
      <c r="H524" s="63"/>
      <c r="I524" s="63"/>
      <c r="J524" s="63"/>
      <c r="K524" s="63"/>
      <c r="L524" s="66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5.75" customHeight="1">
      <c r="A525" s="63"/>
      <c r="B525" s="66"/>
      <c r="C525" s="63"/>
      <c r="D525" s="63"/>
      <c r="E525" s="63"/>
      <c r="F525" s="63"/>
      <c r="G525" s="63"/>
      <c r="H525" s="63"/>
      <c r="I525" s="63"/>
      <c r="J525" s="63"/>
      <c r="K525" s="63"/>
      <c r="L525" s="66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5.75" customHeight="1">
      <c r="A526" s="63"/>
      <c r="B526" s="66"/>
      <c r="C526" s="63"/>
      <c r="D526" s="63"/>
      <c r="E526" s="63"/>
      <c r="F526" s="63"/>
      <c r="G526" s="63"/>
      <c r="H526" s="63"/>
      <c r="I526" s="63"/>
      <c r="J526" s="63"/>
      <c r="K526" s="63"/>
      <c r="L526" s="66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5.75" customHeight="1">
      <c r="A527" s="63"/>
      <c r="B527" s="66"/>
      <c r="C527" s="63"/>
      <c r="D527" s="63"/>
      <c r="E527" s="63"/>
      <c r="F527" s="63"/>
      <c r="G527" s="63"/>
      <c r="H527" s="63"/>
      <c r="I527" s="63"/>
      <c r="J527" s="63"/>
      <c r="K527" s="63"/>
      <c r="L527" s="66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5.75" customHeight="1">
      <c r="A528" s="63"/>
      <c r="B528" s="66"/>
      <c r="C528" s="63"/>
      <c r="D528" s="63"/>
      <c r="E528" s="63"/>
      <c r="F528" s="63"/>
      <c r="G528" s="63"/>
      <c r="H528" s="63"/>
      <c r="I528" s="63"/>
      <c r="J528" s="63"/>
      <c r="K528" s="63"/>
      <c r="L528" s="66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5.75" customHeight="1">
      <c r="A529" s="63"/>
      <c r="B529" s="66"/>
      <c r="C529" s="63"/>
      <c r="D529" s="63"/>
      <c r="E529" s="63"/>
      <c r="F529" s="63"/>
      <c r="G529" s="63"/>
      <c r="H529" s="63"/>
      <c r="I529" s="63"/>
      <c r="J529" s="63"/>
      <c r="K529" s="63"/>
      <c r="L529" s="66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5.75" customHeight="1">
      <c r="A530" s="63"/>
      <c r="B530" s="66"/>
      <c r="C530" s="63"/>
      <c r="D530" s="63"/>
      <c r="E530" s="63"/>
      <c r="F530" s="63"/>
      <c r="G530" s="63"/>
      <c r="H530" s="63"/>
      <c r="I530" s="63"/>
      <c r="J530" s="63"/>
      <c r="K530" s="63"/>
      <c r="L530" s="66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5.75" customHeight="1">
      <c r="A531" s="63"/>
      <c r="B531" s="66"/>
      <c r="C531" s="63"/>
      <c r="D531" s="63"/>
      <c r="E531" s="63"/>
      <c r="F531" s="63"/>
      <c r="G531" s="63"/>
      <c r="H531" s="63"/>
      <c r="I531" s="63"/>
      <c r="J531" s="63"/>
      <c r="K531" s="63"/>
      <c r="L531" s="66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5.75" customHeight="1">
      <c r="A532" s="63"/>
      <c r="B532" s="66"/>
      <c r="C532" s="63"/>
      <c r="D532" s="63"/>
      <c r="E532" s="63"/>
      <c r="F532" s="63"/>
      <c r="G532" s="63"/>
      <c r="H532" s="63"/>
      <c r="I532" s="63"/>
      <c r="J532" s="63"/>
      <c r="K532" s="63"/>
      <c r="L532" s="66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5.75" customHeight="1">
      <c r="A533" s="63"/>
      <c r="B533" s="66"/>
      <c r="C533" s="63"/>
      <c r="D533" s="63"/>
      <c r="E533" s="63"/>
      <c r="F533" s="63"/>
      <c r="G533" s="63"/>
      <c r="H533" s="63"/>
      <c r="I533" s="63"/>
      <c r="J533" s="63"/>
      <c r="K533" s="63"/>
      <c r="L533" s="66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5.75" customHeight="1">
      <c r="A534" s="63"/>
      <c r="B534" s="66"/>
      <c r="C534" s="63"/>
      <c r="D534" s="63"/>
      <c r="E534" s="63"/>
      <c r="F534" s="63"/>
      <c r="G534" s="63"/>
      <c r="H534" s="63"/>
      <c r="I534" s="63"/>
      <c r="J534" s="63"/>
      <c r="K534" s="63"/>
      <c r="L534" s="66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5.75" customHeight="1">
      <c r="A535" s="63"/>
      <c r="B535" s="66"/>
      <c r="C535" s="63"/>
      <c r="D535" s="63"/>
      <c r="E535" s="63"/>
      <c r="F535" s="63"/>
      <c r="G535" s="63"/>
      <c r="H535" s="63"/>
      <c r="I535" s="63"/>
      <c r="J535" s="63"/>
      <c r="K535" s="63"/>
      <c r="L535" s="66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5.75" customHeight="1">
      <c r="A536" s="63"/>
      <c r="B536" s="66"/>
      <c r="C536" s="63"/>
      <c r="D536" s="63"/>
      <c r="E536" s="63"/>
      <c r="F536" s="63"/>
      <c r="G536" s="63"/>
      <c r="H536" s="63"/>
      <c r="I536" s="63"/>
      <c r="J536" s="63"/>
      <c r="K536" s="63"/>
      <c r="L536" s="66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5.75" customHeight="1">
      <c r="A537" s="63"/>
      <c r="B537" s="66"/>
      <c r="C537" s="63"/>
      <c r="D537" s="63"/>
      <c r="E537" s="63"/>
      <c r="F537" s="63"/>
      <c r="G537" s="63"/>
      <c r="H537" s="63"/>
      <c r="I537" s="63"/>
      <c r="J537" s="63"/>
      <c r="K537" s="63"/>
      <c r="L537" s="66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5.75" customHeight="1">
      <c r="A538" s="63"/>
      <c r="B538" s="66"/>
      <c r="C538" s="63"/>
      <c r="D538" s="63"/>
      <c r="E538" s="63"/>
      <c r="F538" s="63"/>
      <c r="G538" s="63"/>
      <c r="H538" s="63"/>
      <c r="I538" s="63"/>
      <c r="J538" s="63"/>
      <c r="K538" s="63"/>
      <c r="L538" s="66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5.75" customHeight="1">
      <c r="A539" s="63"/>
      <c r="B539" s="66"/>
      <c r="C539" s="63"/>
      <c r="D539" s="63"/>
      <c r="E539" s="63"/>
      <c r="F539" s="63"/>
      <c r="G539" s="63"/>
      <c r="H539" s="63"/>
      <c r="I539" s="63"/>
      <c r="J539" s="63"/>
      <c r="K539" s="63"/>
      <c r="L539" s="66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5.75" customHeight="1">
      <c r="A540" s="63"/>
      <c r="B540" s="66"/>
      <c r="C540" s="63"/>
      <c r="D540" s="63"/>
      <c r="E540" s="63"/>
      <c r="F540" s="63"/>
      <c r="G540" s="63"/>
      <c r="H540" s="63"/>
      <c r="I540" s="63"/>
      <c r="J540" s="63"/>
      <c r="K540" s="63"/>
      <c r="L540" s="66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5.75" customHeight="1">
      <c r="A541" s="63"/>
      <c r="B541" s="66"/>
      <c r="C541" s="63"/>
      <c r="D541" s="63"/>
      <c r="E541" s="63"/>
      <c r="F541" s="63"/>
      <c r="G541" s="63"/>
      <c r="H541" s="63"/>
      <c r="I541" s="63"/>
      <c r="J541" s="63"/>
      <c r="K541" s="63"/>
      <c r="L541" s="66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5.75" customHeight="1">
      <c r="A542" s="63"/>
      <c r="B542" s="66"/>
      <c r="C542" s="63"/>
      <c r="D542" s="63"/>
      <c r="E542" s="63"/>
      <c r="F542" s="63"/>
      <c r="G542" s="63"/>
      <c r="H542" s="63"/>
      <c r="I542" s="63"/>
      <c r="J542" s="63"/>
      <c r="K542" s="63"/>
      <c r="L542" s="66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5.75" customHeight="1">
      <c r="A543" s="63"/>
      <c r="B543" s="66"/>
      <c r="C543" s="63"/>
      <c r="D543" s="63"/>
      <c r="E543" s="63"/>
      <c r="F543" s="63"/>
      <c r="G543" s="63"/>
      <c r="H543" s="63"/>
      <c r="I543" s="63"/>
      <c r="J543" s="63"/>
      <c r="K543" s="63"/>
      <c r="L543" s="66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5.75" customHeight="1">
      <c r="A544" s="63"/>
      <c r="B544" s="66"/>
      <c r="C544" s="63"/>
      <c r="D544" s="63"/>
      <c r="E544" s="63"/>
      <c r="F544" s="63"/>
      <c r="G544" s="63"/>
      <c r="H544" s="63"/>
      <c r="I544" s="63"/>
      <c r="J544" s="63"/>
      <c r="K544" s="63"/>
      <c r="L544" s="66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5.75" customHeight="1">
      <c r="A545" s="63"/>
      <c r="B545" s="66"/>
      <c r="C545" s="63"/>
      <c r="D545" s="63"/>
      <c r="E545" s="63"/>
      <c r="F545" s="63"/>
      <c r="G545" s="63"/>
      <c r="H545" s="63"/>
      <c r="I545" s="63"/>
      <c r="J545" s="63"/>
      <c r="K545" s="63"/>
      <c r="L545" s="66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5.75" customHeight="1">
      <c r="A546" s="63"/>
      <c r="B546" s="66"/>
      <c r="C546" s="63"/>
      <c r="D546" s="63"/>
      <c r="E546" s="63"/>
      <c r="F546" s="63"/>
      <c r="G546" s="63"/>
      <c r="H546" s="63"/>
      <c r="I546" s="63"/>
      <c r="J546" s="63"/>
      <c r="K546" s="63"/>
      <c r="L546" s="66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5.75" customHeight="1">
      <c r="A547" s="63"/>
      <c r="B547" s="66"/>
      <c r="C547" s="63"/>
      <c r="D547" s="63"/>
      <c r="E547" s="63"/>
      <c r="F547" s="63"/>
      <c r="G547" s="63"/>
      <c r="H547" s="63"/>
      <c r="I547" s="63"/>
      <c r="J547" s="63"/>
      <c r="K547" s="63"/>
      <c r="L547" s="66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5.75" customHeight="1">
      <c r="A548" s="63"/>
      <c r="B548" s="66"/>
      <c r="C548" s="63"/>
      <c r="D548" s="63"/>
      <c r="E548" s="63"/>
      <c r="F548" s="63"/>
      <c r="G548" s="63"/>
      <c r="H548" s="63"/>
      <c r="I548" s="63"/>
      <c r="J548" s="63"/>
      <c r="K548" s="63"/>
      <c r="L548" s="66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5.75" customHeight="1">
      <c r="A549" s="63"/>
      <c r="B549" s="66"/>
      <c r="C549" s="63"/>
      <c r="D549" s="63"/>
      <c r="E549" s="63"/>
      <c r="F549" s="63"/>
      <c r="G549" s="63"/>
      <c r="H549" s="63"/>
      <c r="I549" s="63"/>
      <c r="J549" s="63"/>
      <c r="K549" s="63"/>
      <c r="L549" s="66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5.75" customHeight="1">
      <c r="A550" s="63"/>
      <c r="B550" s="66"/>
      <c r="C550" s="63"/>
      <c r="D550" s="63"/>
      <c r="E550" s="63"/>
      <c r="F550" s="63"/>
      <c r="G550" s="63"/>
      <c r="H550" s="63"/>
      <c r="I550" s="63"/>
      <c r="J550" s="63"/>
      <c r="K550" s="63"/>
      <c r="L550" s="66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5.75" customHeight="1">
      <c r="A551" s="63"/>
      <c r="B551" s="66"/>
      <c r="C551" s="63"/>
      <c r="D551" s="63"/>
      <c r="E551" s="63"/>
      <c r="F551" s="63"/>
      <c r="G551" s="63"/>
      <c r="H551" s="63"/>
      <c r="I551" s="63"/>
      <c r="J551" s="63"/>
      <c r="K551" s="63"/>
      <c r="L551" s="66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5.75" customHeight="1">
      <c r="A552" s="63"/>
      <c r="B552" s="66"/>
      <c r="C552" s="63"/>
      <c r="D552" s="63"/>
      <c r="E552" s="63"/>
      <c r="F552" s="63"/>
      <c r="G552" s="63"/>
      <c r="H552" s="63"/>
      <c r="I552" s="63"/>
      <c r="J552" s="63"/>
      <c r="K552" s="63"/>
      <c r="L552" s="66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5.75" customHeight="1">
      <c r="A553" s="63"/>
      <c r="B553" s="66"/>
      <c r="C553" s="63"/>
      <c r="D553" s="63"/>
      <c r="E553" s="63"/>
      <c r="F553" s="63"/>
      <c r="G553" s="63"/>
      <c r="H553" s="63"/>
      <c r="I553" s="63"/>
      <c r="J553" s="63"/>
      <c r="K553" s="63"/>
      <c r="L553" s="66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5.75" customHeight="1">
      <c r="A554" s="63"/>
      <c r="B554" s="66"/>
      <c r="C554" s="63"/>
      <c r="D554" s="63"/>
      <c r="E554" s="63"/>
      <c r="F554" s="63"/>
      <c r="G554" s="63"/>
      <c r="H554" s="63"/>
      <c r="I554" s="63"/>
      <c r="J554" s="63"/>
      <c r="K554" s="63"/>
      <c r="L554" s="66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5.75" customHeight="1">
      <c r="A555" s="63"/>
      <c r="B555" s="66"/>
      <c r="C555" s="63"/>
      <c r="D555" s="63"/>
      <c r="E555" s="63"/>
      <c r="F555" s="63"/>
      <c r="G555" s="63"/>
      <c r="H555" s="63"/>
      <c r="I555" s="63"/>
      <c r="J555" s="63"/>
      <c r="K555" s="63"/>
      <c r="L555" s="66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5.75" customHeight="1">
      <c r="A556" s="63"/>
      <c r="B556" s="66"/>
      <c r="C556" s="63"/>
      <c r="D556" s="63"/>
      <c r="E556" s="63"/>
      <c r="F556" s="63"/>
      <c r="G556" s="63"/>
      <c r="H556" s="63"/>
      <c r="I556" s="63"/>
      <c r="J556" s="63"/>
      <c r="K556" s="63"/>
      <c r="L556" s="66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5.75" customHeight="1">
      <c r="A557" s="63"/>
      <c r="B557" s="66"/>
      <c r="C557" s="63"/>
      <c r="D557" s="63"/>
      <c r="E557" s="63"/>
      <c r="F557" s="63"/>
      <c r="G557" s="63"/>
      <c r="H557" s="63"/>
      <c r="I557" s="63"/>
      <c r="J557" s="63"/>
      <c r="K557" s="63"/>
      <c r="L557" s="66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5.75" customHeight="1">
      <c r="A558" s="63"/>
      <c r="B558" s="66"/>
      <c r="C558" s="63"/>
      <c r="D558" s="63"/>
      <c r="E558" s="63"/>
      <c r="F558" s="63"/>
      <c r="G558" s="63"/>
      <c r="H558" s="63"/>
      <c r="I558" s="63"/>
      <c r="J558" s="63"/>
      <c r="K558" s="63"/>
      <c r="L558" s="66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5.75" customHeight="1">
      <c r="A559" s="63"/>
      <c r="B559" s="66"/>
      <c r="C559" s="63"/>
      <c r="D559" s="63"/>
      <c r="E559" s="63"/>
      <c r="F559" s="63"/>
      <c r="G559" s="63"/>
      <c r="H559" s="63"/>
      <c r="I559" s="63"/>
      <c r="J559" s="63"/>
      <c r="K559" s="63"/>
      <c r="L559" s="66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5.75" customHeight="1">
      <c r="A560" s="63"/>
      <c r="B560" s="66"/>
      <c r="C560" s="63"/>
      <c r="D560" s="63"/>
      <c r="E560" s="63"/>
      <c r="F560" s="63"/>
      <c r="G560" s="63"/>
      <c r="H560" s="63"/>
      <c r="I560" s="63"/>
      <c r="J560" s="63"/>
      <c r="K560" s="63"/>
      <c r="L560" s="66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5.75" customHeight="1">
      <c r="A561" s="63"/>
      <c r="B561" s="66"/>
      <c r="C561" s="63"/>
      <c r="D561" s="63"/>
      <c r="E561" s="63"/>
      <c r="F561" s="63"/>
      <c r="G561" s="63"/>
      <c r="H561" s="63"/>
      <c r="I561" s="63"/>
      <c r="J561" s="63"/>
      <c r="K561" s="63"/>
      <c r="L561" s="66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5.75" customHeight="1">
      <c r="A562" s="63"/>
      <c r="B562" s="66"/>
      <c r="C562" s="63"/>
      <c r="D562" s="63"/>
      <c r="E562" s="63"/>
      <c r="F562" s="63"/>
      <c r="G562" s="63"/>
      <c r="H562" s="63"/>
      <c r="I562" s="63"/>
      <c r="J562" s="63"/>
      <c r="K562" s="63"/>
      <c r="L562" s="66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5.75" customHeight="1">
      <c r="A563" s="63"/>
      <c r="B563" s="66"/>
      <c r="C563" s="63"/>
      <c r="D563" s="63"/>
      <c r="E563" s="63"/>
      <c r="F563" s="63"/>
      <c r="G563" s="63"/>
      <c r="H563" s="63"/>
      <c r="I563" s="63"/>
      <c r="J563" s="63"/>
      <c r="K563" s="63"/>
      <c r="L563" s="66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5.75" customHeight="1">
      <c r="A564" s="63"/>
      <c r="B564" s="66"/>
      <c r="C564" s="63"/>
      <c r="D564" s="63"/>
      <c r="E564" s="63"/>
      <c r="F564" s="63"/>
      <c r="G564" s="63"/>
      <c r="H564" s="63"/>
      <c r="I564" s="63"/>
      <c r="J564" s="63"/>
      <c r="K564" s="63"/>
      <c r="L564" s="66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5.75" customHeight="1">
      <c r="A565" s="63"/>
      <c r="B565" s="66"/>
      <c r="C565" s="63"/>
      <c r="D565" s="63"/>
      <c r="E565" s="63"/>
      <c r="F565" s="63"/>
      <c r="G565" s="63"/>
      <c r="H565" s="63"/>
      <c r="I565" s="63"/>
      <c r="J565" s="63"/>
      <c r="K565" s="63"/>
      <c r="L565" s="66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5.75" customHeight="1">
      <c r="A566" s="63"/>
      <c r="B566" s="66"/>
      <c r="C566" s="63"/>
      <c r="D566" s="63"/>
      <c r="E566" s="63"/>
      <c r="F566" s="63"/>
      <c r="G566" s="63"/>
      <c r="H566" s="63"/>
      <c r="I566" s="63"/>
      <c r="J566" s="63"/>
      <c r="K566" s="63"/>
      <c r="L566" s="66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5.75" customHeight="1">
      <c r="A567" s="63"/>
      <c r="B567" s="66"/>
      <c r="C567" s="63"/>
      <c r="D567" s="63"/>
      <c r="E567" s="63"/>
      <c r="F567" s="63"/>
      <c r="G567" s="63"/>
      <c r="H567" s="63"/>
      <c r="I567" s="63"/>
      <c r="J567" s="63"/>
      <c r="K567" s="63"/>
      <c r="L567" s="66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5.75" customHeight="1">
      <c r="A568" s="63"/>
      <c r="B568" s="66"/>
      <c r="C568" s="63"/>
      <c r="D568" s="63"/>
      <c r="E568" s="63"/>
      <c r="F568" s="63"/>
      <c r="G568" s="63"/>
      <c r="H568" s="63"/>
      <c r="I568" s="63"/>
      <c r="J568" s="63"/>
      <c r="K568" s="63"/>
      <c r="L568" s="66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5.75" customHeight="1">
      <c r="A569" s="63"/>
      <c r="B569" s="66"/>
      <c r="C569" s="63"/>
      <c r="D569" s="63"/>
      <c r="E569" s="63"/>
      <c r="F569" s="63"/>
      <c r="G569" s="63"/>
      <c r="H569" s="63"/>
      <c r="I569" s="63"/>
      <c r="J569" s="63"/>
      <c r="K569" s="63"/>
      <c r="L569" s="66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5.75" customHeight="1">
      <c r="A570" s="63"/>
      <c r="B570" s="66"/>
      <c r="C570" s="63"/>
      <c r="D570" s="63"/>
      <c r="E570" s="63"/>
      <c r="F570" s="63"/>
      <c r="G570" s="63"/>
      <c r="H570" s="63"/>
      <c r="I570" s="63"/>
      <c r="J570" s="63"/>
      <c r="K570" s="63"/>
      <c r="L570" s="66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5.75" customHeight="1">
      <c r="A571" s="63"/>
      <c r="B571" s="66"/>
      <c r="C571" s="63"/>
      <c r="D571" s="63"/>
      <c r="E571" s="63"/>
      <c r="F571" s="63"/>
      <c r="G571" s="63"/>
      <c r="H571" s="63"/>
      <c r="I571" s="63"/>
      <c r="J571" s="63"/>
      <c r="K571" s="63"/>
      <c r="L571" s="66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5.75" customHeight="1">
      <c r="A572" s="63"/>
      <c r="B572" s="66"/>
      <c r="C572" s="63"/>
      <c r="D572" s="63"/>
      <c r="E572" s="63"/>
      <c r="F572" s="63"/>
      <c r="G572" s="63"/>
      <c r="H572" s="63"/>
      <c r="I572" s="63"/>
      <c r="J572" s="63"/>
      <c r="K572" s="63"/>
      <c r="L572" s="66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5.75" customHeight="1">
      <c r="A573" s="63"/>
      <c r="B573" s="66"/>
      <c r="C573" s="63"/>
      <c r="D573" s="63"/>
      <c r="E573" s="63"/>
      <c r="F573" s="63"/>
      <c r="G573" s="63"/>
      <c r="H573" s="63"/>
      <c r="I573" s="63"/>
      <c r="J573" s="63"/>
      <c r="K573" s="63"/>
      <c r="L573" s="66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5.75" customHeight="1">
      <c r="A574" s="63"/>
      <c r="B574" s="66"/>
      <c r="C574" s="63"/>
      <c r="D574" s="63"/>
      <c r="E574" s="63"/>
      <c r="F574" s="63"/>
      <c r="G574" s="63"/>
      <c r="H574" s="63"/>
      <c r="I574" s="63"/>
      <c r="J574" s="63"/>
      <c r="K574" s="63"/>
      <c r="L574" s="66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5.75" customHeight="1">
      <c r="A575" s="63"/>
      <c r="B575" s="66"/>
      <c r="C575" s="63"/>
      <c r="D575" s="63"/>
      <c r="E575" s="63"/>
      <c r="F575" s="63"/>
      <c r="G575" s="63"/>
      <c r="H575" s="63"/>
      <c r="I575" s="63"/>
      <c r="J575" s="63"/>
      <c r="K575" s="63"/>
      <c r="L575" s="66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5.75" customHeight="1">
      <c r="A576" s="63"/>
      <c r="B576" s="66"/>
      <c r="C576" s="63"/>
      <c r="D576" s="63"/>
      <c r="E576" s="63"/>
      <c r="F576" s="63"/>
      <c r="G576" s="63"/>
      <c r="H576" s="63"/>
      <c r="I576" s="63"/>
      <c r="J576" s="63"/>
      <c r="K576" s="63"/>
      <c r="L576" s="66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5.75" customHeight="1">
      <c r="A577" s="63"/>
      <c r="B577" s="66"/>
      <c r="C577" s="63"/>
      <c r="D577" s="63"/>
      <c r="E577" s="63"/>
      <c r="F577" s="63"/>
      <c r="G577" s="63"/>
      <c r="H577" s="63"/>
      <c r="I577" s="63"/>
      <c r="J577" s="63"/>
      <c r="K577" s="63"/>
      <c r="L577" s="66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5.75" customHeight="1">
      <c r="A578" s="63"/>
      <c r="B578" s="66"/>
      <c r="C578" s="63"/>
      <c r="D578" s="63"/>
      <c r="E578" s="63"/>
      <c r="F578" s="63"/>
      <c r="G578" s="63"/>
      <c r="H578" s="63"/>
      <c r="I578" s="63"/>
      <c r="J578" s="63"/>
      <c r="K578" s="63"/>
      <c r="L578" s="66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5.75" customHeight="1">
      <c r="A579" s="63"/>
      <c r="B579" s="66"/>
      <c r="C579" s="63"/>
      <c r="D579" s="63"/>
      <c r="E579" s="63"/>
      <c r="F579" s="63"/>
      <c r="G579" s="63"/>
      <c r="H579" s="63"/>
      <c r="I579" s="63"/>
      <c r="J579" s="63"/>
      <c r="K579" s="63"/>
      <c r="L579" s="66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5.75" customHeight="1">
      <c r="A580" s="63"/>
      <c r="B580" s="66"/>
      <c r="C580" s="63"/>
      <c r="D580" s="63"/>
      <c r="E580" s="63"/>
      <c r="F580" s="63"/>
      <c r="G580" s="63"/>
      <c r="H580" s="63"/>
      <c r="I580" s="63"/>
      <c r="J580" s="63"/>
      <c r="K580" s="63"/>
      <c r="L580" s="66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5.75" customHeight="1">
      <c r="A581" s="63"/>
      <c r="B581" s="66"/>
      <c r="C581" s="63"/>
      <c r="D581" s="63"/>
      <c r="E581" s="63"/>
      <c r="F581" s="63"/>
      <c r="G581" s="63"/>
      <c r="H581" s="63"/>
      <c r="I581" s="63"/>
      <c r="J581" s="63"/>
      <c r="K581" s="63"/>
      <c r="L581" s="66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5.75" customHeight="1">
      <c r="A582" s="63"/>
      <c r="B582" s="66"/>
      <c r="C582" s="63"/>
      <c r="D582" s="63"/>
      <c r="E582" s="63"/>
      <c r="F582" s="63"/>
      <c r="G582" s="63"/>
      <c r="H582" s="63"/>
      <c r="I582" s="63"/>
      <c r="J582" s="63"/>
      <c r="K582" s="63"/>
      <c r="L582" s="66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5.75" customHeight="1">
      <c r="A583" s="63"/>
      <c r="B583" s="66"/>
      <c r="C583" s="63"/>
      <c r="D583" s="63"/>
      <c r="E583" s="63"/>
      <c r="F583" s="63"/>
      <c r="G583" s="63"/>
      <c r="H583" s="63"/>
      <c r="I583" s="63"/>
      <c r="J583" s="63"/>
      <c r="K583" s="63"/>
      <c r="L583" s="66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5.75" customHeight="1">
      <c r="A584" s="63"/>
      <c r="B584" s="66"/>
      <c r="C584" s="63"/>
      <c r="D584" s="63"/>
      <c r="E584" s="63"/>
      <c r="F584" s="63"/>
      <c r="G584" s="63"/>
      <c r="H584" s="63"/>
      <c r="I584" s="63"/>
      <c r="J584" s="63"/>
      <c r="K584" s="63"/>
      <c r="L584" s="66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5.75" customHeight="1">
      <c r="A585" s="63"/>
      <c r="B585" s="66"/>
      <c r="C585" s="63"/>
      <c r="D585" s="63"/>
      <c r="E585" s="63"/>
      <c r="F585" s="63"/>
      <c r="G585" s="63"/>
      <c r="H585" s="63"/>
      <c r="I585" s="63"/>
      <c r="J585" s="63"/>
      <c r="K585" s="63"/>
      <c r="L585" s="66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5.75" customHeight="1">
      <c r="A586" s="63"/>
      <c r="B586" s="66"/>
      <c r="C586" s="63"/>
      <c r="D586" s="63"/>
      <c r="E586" s="63"/>
      <c r="F586" s="63"/>
      <c r="G586" s="63"/>
      <c r="H586" s="63"/>
      <c r="I586" s="63"/>
      <c r="J586" s="63"/>
      <c r="K586" s="63"/>
      <c r="L586" s="66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5.75" customHeight="1">
      <c r="A587" s="63"/>
      <c r="B587" s="66"/>
      <c r="C587" s="63"/>
      <c r="D587" s="63"/>
      <c r="E587" s="63"/>
      <c r="F587" s="63"/>
      <c r="G587" s="63"/>
      <c r="H587" s="63"/>
      <c r="I587" s="63"/>
      <c r="J587" s="63"/>
      <c r="K587" s="63"/>
      <c r="L587" s="66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5.75" customHeight="1">
      <c r="A588" s="63"/>
      <c r="B588" s="66"/>
      <c r="C588" s="63"/>
      <c r="D588" s="63"/>
      <c r="E588" s="63"/>
      <c r="F588" s="63"/>
      <c r="G588" s="63"/>
      <c r="H588" s="63"/>
      <c r="I588" s="63"/>
      <c r="J588" s="63"/>
      <c r="K588" s="63"/>
      <c r="L588" s="66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5.75" customHeight="1">
      <c r="A589" s="63"/>
      <c r="B589" s="66"/>
      <c r="C589" s="63"/>
      <c r="D589" s="63"/>
      <c r="E589" s="63"/>
      <c r="F589" s="63"/>
      <c r="G589" s="63"/>
      <c r="H589" s="63"/>
      <c r="I589" s="63"/>
      <c r="J589" s="63"/>
      <c r="K589" s="63"/>
      <c r="L589" s="66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5.75" customHeight="1">
      <c r="A590" s="63"/>
      <c r="B590" s="66"/>
      <c r="C590" s="63"/>
      <c r="D590" s="63"/>
      <c r="E590" s="63"/>
      <c r="F590" s="63"/>
      <c r="G590" s="63"/>
      <c r="H590" s="63"/>
      <c r="I590" s="63"/>
      <c r="J590" s="63"/>
      <c r="K590" s="63"/>
      <c r="L590" s="66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5.75" customHeight="1">
      <c r="A591" s="63"/>
      <c r="B591" s="66"/>
      <c r="C591" s="63"/>
      <c r="D591" s="63"/>
      <c r="E591" s="63"/>
      <c r="F591" s="63"/>
      <c r="G591" s="63"/>
      <c r="H591" s="63"/>
      <c r="I591" s="63"/>
      <c r="J591" s="63"/>
      <c r="K591" s="63"/>
      <c r="L591" s="66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5.75" customHeight="1">
      <c r="A592" s="63"/>
      <c r="B592" s="66"/>
      <c r="C592" s="63"/>
      <c r="D592" s="63"/>
      <c r="E592" s="63"/>
      <c r="F592" s="63"/>
      <c r="G592" s="63"/>
      <c r="H592" s="63"/>
      <c r="I592" s="63"/>
      <c r="J592" s="63"/>
      <c r="K592" s="63"/>
      <c r="L592" s="66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5.75" customHeight="1">
      <c r="A593" s="63"/>
      <c r="B593" s="66"/>
      <c r="C593" s="63"/>
      <c r="D593" s="63"/>
      <c r="E593" s="63"/>
      <c r="F593" s="63"/>
      <c r="G593" s="63"/>
      <c r="H593" s="63"/>
      <c r="I593" s="63"/>
      <c r="J593" s="63"/>
      <c r="K593" s="63"/>
      <c r="L593" s="66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5.75" customHeight="1">
      <c r="A594" s="63"/>
      <c r="B594" s="66"/>
      <c r="C594" s="63"/>
      <c r="D594" s="63"/>
      <c r="E594" s="63"/>
      <c r="F594" s="63"/>
      <c r="G594" s="63"/>
      <c r="H594" s="63"/>
      <c r="I594" s="63"/>
      <c r="J594" s="63"/>
      <c r="K594" s="63"/>
      <c r="L594" s="66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5.75" customHeight="1">
      <c r="A595" s="63"/>
      <c r="B595" s="66"/>
      <c r="C595" s="63"/>
      <c r="D595" s="63"/>
      <c r="E595" s="63"/>
      <c r="F595" s="63"/>
      <c r="G595" s="63"/>
      <c r="H595" s="63"/>
      <c r="I595" s="63"/>
      <c r="J595" s="63"/>
      <c r="K595" s="63"/>
      <c r="L595" s="66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5.75" customHeight="1">
      <c r="A596" s="63"/>
      <c r="B596" s="66"/>
      <c r="C596" s="63"/>
      <c r="D596" s="63"/>
      <c r="E596" s="63"/>
      <c r="F596" s="63"/>
      <c r="G596" s="63"/>
      <c r="H596" s="63"/>
      <c r="I596" s="63"/>
      <c r="J596" s="63"/>
      <c r="K596" s="63"/>
      <c r="L596" s="66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5.75" customHeight="1">
      <c r="A597" s="63"/>
      <c r="B597" s="66"/>
      <c r="C597" s="63"/>
      <c r="D597" s="63"/>
      <c r="E597" s="63"/>
      <c r="F597" s="63"/>
      <c r="G597" s="63"/>
      <c r="H597" s="63"/>
      <c r="I597" s="63"/>
      <c r="J597" s="63"/>
      <c r="K597" s="63"/>
      <c r="L597" s="66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5.75" customHeight="1">
      <c r="A598" s="63"/>
      <c r="B598" s="66"/>
      <c r="C598" s="63"/>
      <c r="D598" s="63"/>
      <c r="E598" s="63"/>
      <c r="F598" s="63"/>
      <c r="G598" s="63"/>
      <c r="H598" s="63"/>
      <c r="I598" s="63"/>
      <c r="J598" s="63"/>
      <c r="K598" s="63"/>
      <c r="L598" s="66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5.75" customHeight="1">
      <c r="A599" s="63"/>
      <c r="B599" s="66"/>
      <c r="C599" s="63"/>
      <c r="D599" s="63"/>
      <c r="E599" s="63"/>
      <c r="F599" s="63"/>
      <c r="G599" s="63"/>
      <c r="H599" s="63"/>
      <c r="I599" s="63"/>
      <c r="J599" s="63"/>
      <c r="K599" s="63"/>
      <c r="L599" s="66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5.75" customHeight="1">
      <c r="A600" s="63"/>
      <c r="B600" s="66"/>
      <c r="C600" s="63"/>
      <c r="D600" s="63"/>
      <c r="E600" s="63"/>
      <c r="F600" s="63"/>
      <c r="G600" s="63"/>
      <c r="H600" s="63"/>
      <c r="I600" s="63"/>
      <c r="J600" s="63"/>
      <c r="K600" s="63"/>
      <c r="L600" s="66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5.75" customHeight="1">
      <c r="A601" s="63"/>
      <c r="B601" s="66"/>
      <c r="C601" s="63"/>
      <c r="D601" s="63"/>
      <c r="E601" s="63"/>
      <c r="F601" s="63"/>
      <c r="G601" s="63"/>
      <c r="H601" s="63"/>
      <c r="I601" s="63"/>
      <c r="J601" s="63"/>
      <c r="K601" s="63"/>
      <c r="L601" s="66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5.75" customHeight="1">
      <c r="A602" s="63"/>
      <c r="B602" s="66"/>
      <c r="C602" s="63"/>
      <c r="D602" s="63"/>
      <c r="E602" s="63"/>
      <c r="F602" s="63"/>
      <c r="G602" s="63"/>
      <c r="H602" s="63"/>
      <c r="I602" s="63"/>
      <c r="J602" s="63"/>
      <c r="K602" s="63"/>
      <c r="L602" s="66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5.75" customHeight="1">
      <c r="A603" s="63"/>
      <c r="B603" s="66"/>
      <c r="C603" s="63"/>
      <c r="D603" s="63"/>
      <c r="E603" s="63"/>
      <c r="F603" s="63"/>
      <c r="G603" s="63"/>
      <c r="H603" s="63"/>
      <c r="I603" s="63"/>
      <c r="J603" s="63"/>
      <c r="K603" s="63"/>
      <c r="L603" s="66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5.75" customHeight="1">
      <c r="A604" s="63"/>
      <c r="B604" s="66"/>
      <c r="C604" s="63"/>
      <c r="D604" s="63"/>
      <c r="E604" s="63"/>
      <c r="F604" s="63"/>
      <c r="G604" s="63"/>
      <c r="H604" s="63"/>
      <c r="I604" s="63"/>
      <c r="J604" s="63"/>
      <c r="K604" s="63"/>
      <c r="L604" s="66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5.75" customHeight="1">
      <c r="A605" s="63"/>
      <c r="B605" s="66"/>
      <c r="C605" s="63"/>
      <c r="D605" s="63"/>
      <c r="E605" s="63"/>
      <c r="F605" s="63"/>
      <c r="G605" s="63"/>
      <c r="H605" s="63"/>
      <c r="I605" s="63"/>
      <c r="J605" s="63"/>
      <c r="K605" s="63"/>
      <c r="L605" s="66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5.75" customHeight="1">
      <c r="A606" s="63"/>
      <c r="B606" s="66"/>
      <c r="C606" s="63"/>
      <c r="D606" s="63"/>
      <c r="E606" s="63"/>
      <c r="F606" s="63"/>
      <c r="G606" s="63"/>
      <c r="H606" s="63"/>
      <c r="I606" s="63"/>
      <c r="J606" s="63"/>
      <c r="K606" s="63"/>
      <c r="L606" s="66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5.75" customHeight="1">
      <c r="A607" s="63"/>
      <c r="B607" s="66"/>
      <c r="C607" s="63"/>
      <c r="D607" s="63"/>
      <c r="E607" s="63"/>
      <c r="F607" s="63"/>
      <c r="G607" s="63"/>
      <c r="H607" s="63"/>
      <c r="I607" s="63"/>
      <c r="J607" s="63"/>
      <c r="K607" s="63"/>
      <c r="L607" s="66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5.75" customHeight="1">
      <c r="A608" s="63"/>
      <c r="B608" s="66"/>
      <c r="C608" s="63"/>
      <c r="D608" s="63"/>
      <c r="E608" s="63"/>
      <c r="F608" s="63"/>
      <c r="G608" s="63"/>
      <c r="H608" s="63"/>
      <c r="I608" s="63"/>
      <c r="J608" s="63"/>
      <c r="K608" s="63"/>
      <c r="L608" s="66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5.75" customHeight="1">
      <c r="A609" s="63"/>
      <c r="B609" s="66"/>
      <c r="C609" s="63"/>
      <c r="D609" s="63"/>
      <c r="E609" s="63"/>
      <c r="F609" s="63"/>
      <c r="G609" s="63"/>
      <c r="H609" s="63"/>
      <c r="I609" s="63"/>
      <c r="J609" s="63"/>
      <c r="K609" s="63"/>
      <c r="L609" s="66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5.75" customHeight="1">
      <c r="A610" s="63"/>
      <c r="B610" s="66"/>
      <c r="C610" s="63"/>
      <c r="D610" s="63"/>
      <c r="E610" s="63"/>
      <c r="F610" s="63"/>
      <c r="G610" s="63"/>
      <c r="H610" s="63"/>
      <c r="I610" s="63"/>
      <c r="J610" s="63"/>
      <c r="K610" s="63"/>
      <c r="L610" s="66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5.75" customHeight="1">
      <c r="A611" s="63"/>
      <c r="B611" s="66"/>
      <c r="C611" s="63"/>
      <c r="D611" s="63"/>
      <c r="E611" s="63"/>
      <c r="F611" s="63"/>
      <c r="G611" s="63"/>
      <c r="H611" s="63"/>
      <c r="I611" s="63"/>
      <c r="J611" s="63"/>
      <c r="K611" s="63"/>
      <c r="L611" s="66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5.75" customHeight="1">
      <c r="A612" s="63"/>
      <c r="B612" s="66"/>
      <c r="C612" s="63"/>
      <c r="D612" s="63"/>
      <c r="E612" s="63"/>
      <c r="F612" s="63"/>
      <c r="G612" s="63"/>
      <c r="H612" s="63"/>
      <c r="I612" s="63"/>
      <c r="J612" s="63"/>
      <c r="K612" s="63"/>
      <c r="L612" s="66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5.75" customHeight="1">
      <c r="A613" s="63"/>
      <c r="B613" s="66"/>
      <c r="C613" s="63"/>
      <c r="D613" s="63"/>
      <c r="E613" s="63"/>
      <c r="F613" s="63"/>
      <c r="G613" s="63"/>
      <c r="H613" s="63"/>
      <c r="I613" s="63"/>
      <c r="J613" s="63"/>
      <c r="K613" s="63"/>
      <c r="L613" s="66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5.75" customHeight="1">
      <c r="A614" s="63"/>
      <c r="B614" s="66"/>
      <c r="C614" s="63"/>
      <c r="D614" s="63"/>
      <c r="E614" s="63"/>
      <c r="F614" s="63"/>
      <c r="G614" s="63"/>
      <c r="H614" s="63"/>
      <c r="I614" s="63"/>
      <c r="J614" s="63"/>
      <c r="K614" s="63"/>
      <c r="L614" s="66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5.75" customHeight="1">
      <c r="A615" s="63"/>
      <c r="B615" s="66"/>
      <c r="C615" s="63"/>
      <c r="D615" s="63"/>
      <c r="E615" s="63"/>
      <c r="F615" s="63"/>
      <c r="G615" s="63"/>
      <c r="H615" s="63"/>
      <c r="I615" s="63"/>
      <c r="J615" s="63"/>
      <c r="K615" s="63"/>
      <c r="L615" s="66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5.75" customHeight="1">
      <c r="A616" s="63"/>
      <c r="B616" s="66"/>
      <c r="C616" s="63"/>
      <c r="D616" s="63"/>
      <c r="E616" s="63"/>
      <c r="F616" s="63"/>
      <c r="G616" s="63"/>
      <c r="H616" s="63"/>
      <c r="I616" s="63"/>
      <c r="J616" s="63"/>
      <c r="K616" s="63"/>
      <c r="L616" s="66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5.75" customHeight="1">
      <c r="A617" s="63"/>
      <c r="B617" s="66"/>
      <c r="C617" s="63"/>
      <c r="D617" s="63"/>
      <c r="E617" s="63"/>
      <c r="F617" s="63"/>
      <c r="G617" s="63"/>
      <c r="H617" s="63"/>
      <c r="I617" s="63"/>
      <c r="J617" s="63"/>
      <c r="K617" s="63"/>
      <c r="L617" s="66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5.75" customHeight="1">
      <c r="A618" s="63"/>
      <c r="B618" s="66"/>
      <c r="C618" s="63"/>
      <c r="D618" s="63"/>
      <c r="E618" s="63"/>
      <c r="F618" s="63"/>
      <c r="G618" s="63"/>
      <c r="H618" s="63"/>
      <c r="I618" s="63"/>
      <c r="J618" s="63"/>
      <c r="K618" s="63"/>
      <c r="L618" s="66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5.75" customHeight="1">
      <c r="A619" s="63"/>
      <c r="B619" s="66"/>
      <c r="C619" s="63"/>
      <c r="D619" s="63"/>
      <c r="E619" s="63"/>
      <c r="F619" s="63"/>
      <c r="G619" s="63"/>
      <c r="H619" s="63"/>
      <c r="I619" s="63"/>
      <c r="J619" s="63"/>
      <c r="K619" s="63"/>
      <c r="L619" s="66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5.75" customHeight="1">
      <c r="A620" s="63"/>
      <c r="B620" s="66"/>
      <c r="C620" s="63"/>
      <c r="D620" s="63"/>
      <c r="E620" s="63"/>
      <c r="F620" s="63"/>
      <c r="G620" s="63"/>
      <c r="H620" s="63"/>
      <c r="I620" s="63"/>
      <c r="J620" s="63"/>
      <c r="K620" s="63"/>
      <c r="L620" s="66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5.75" customHeight="1">
      <c r="A621" s="63"/>
      <c r="B621" s="66"/>
      <c r="C621" s="63"/>
      <c r="D621" s="63"/>
      <c r="E621" s="63"/>
      <c r="F621" s="63"/>
      <c r="G621" s="63"/>
      <c r="H621" s="63"/>
      <c r="I621" s="63"/>
      <c r="J621" s="63"/>
      <c r="K621" s="63"/>
      <c r="L621" s="66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5.75" customHeight="1">
      <c r="A622" s="63"/>
      <c r="B622" s="66"/>
      <c r="C622" s="63"/>
      <c r="D622" s="63"/>
      <c r="E622" s="63"/>
      <c r="F622" s="63"/>
      <c r="G622" s="63"/>
      <c r="H622" s="63"/>
      <c r="I622" s="63"/>
      <c r="J622" s="63"/>
      <c r="K622" s="63"/>
      <c r="L622" s="66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5.75" customHeight="1">
      <c r="A623" s="63"/>
      <c r="B623" s="66"/>
      <c r="C623" s="63"/>
      <c r="D623" s="63"/>
      <c r="E623" s="63"/>
      <c r="F623" s="63"/>
      <c r="G623" s="63"/>
      <c r="H623" s="63"/>
      <c r="I623" s="63"/>
      <c r="J623" s="63"/>
      <c r="K623" s="63"/>
      <c r="L623" s="66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5.75" customHeight="1">
      <c r="A624" s="63"/>
      <c r="B624" s="66"/>
      <c r="C624" s="63"/>
      <c r="D624" s="63"/>
      <c r="E624" s="63"/>
      <c r="F624" s="63"/>
      <c r="G624" s="63"/>
      <c r="H624" s="63"/>
      <c r="I624" s="63"/>
      <c r="J624" s="63"/>
      <c r="K624" s="63"/>
      <c r="L624" s="66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5.75" customHeight="1">
      <c r="A625" s="63"/>
      <c r="B625" s="66"/>
      <c r="C625" s="63"/>
      <c r="D625" s="63"/>
      <c r="E625" s="63"/>
      <c r="F625" s="63"/>
      <c r="G625" s="63"/>
      <c r="H625" s="63"/>
      <c r="I625" s="63"/>
      <c r="J625" s="63"/>
      <c r="K625" s="63"/>
      <c r="L625" s="66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5.75" customHeight="1">
      <c r="A626" s="63"/>
      <c r="B626" s="66"/>
      <c r="C626" s="63"/>
      <c r="D626" s="63"/>
      <c r="E626" s="63"/>
      <c r="F626" s="63"/>
      <c r="G626" s="63"/>
      <c r="H626" s="63"/>
      <c r="I626" s="63"/>
      <c r="J626" s="63"/>
      <c r="K626" s="63"/>
      <c r="L626" s="66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5.75" customHeight="1">
      <c r="A627" s="63"/>
      <c r="B627" s="66"/>
      <c r="C627" s="63"/>
      <c r="D627" s="63"/>
      <c r="E627" s="63"/>
      <c r="F627" s="63"/>
      <c r="G627" s="63"/>
      <c r="H627" s="63"/>
      <c r="I627" s="63"/>
      <c r="J627" s="63"/>
      <c r="K627" s="63"/>
      <c r="L627" s="66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5.75" customHeight="1">
      <c r="A628" s="63"/>
      <c r="B628" s="66"/>
      <c r="C628" s="63"/>
      <c r="D628" s="63"/>
      <c r="E628" s="63"/>
      <c r="F628" s="63"/>
      <c r="G628" s="63"/>
      <c r="H628" s="63"/>
      <c r="I628" s="63"/>
      <c r="J628" s="63"/>
      <c r="K628" s="63"/>
      <c r="L628" s="66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5.75" customHeight="1">
      <c r="A629" s="63"/>
      <c r="B629" s="66"/>
      <c r="C629" s="63"/>
      <c r="D629" s="63"/>
      <c r="E629" s="63"/>
      <c r="F629" s="63"/>
      <c r="G629" s="63"/>
      <c r="H629" s="63"/>
      <c r="I629" s="63"/>
      <c r="J629" s="63"/>
      <c r="K629" s="63"/>
      <c r="L629" s="66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5.75" customHeight="1">
      <c r="A630" s="63"/>
      <c r="B630" s="66"/>
      <c r="C630" s="63"/>
      <c r="D630" s="63"/>
      <c r="E630" s="63"/>
      <c r="F630" s="63"/>
      <c r="G630" s="63"/>
      <c r="H630" s="63"/>
      <c r="I630" s="63"/>
      <c r="J630" s="63"/>
      <c r="K630" s="63"/>
      <c r="L630" s="66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5.75" customHeight="1">
      <c r="A631" s="63"/>
      <c r="B631" s="66"/>
      <c r="C631" s="63"/>
      <c r="D631" s="63"/>
      <c r="E631" s="63"/>
      <c r="F631" s="63"/>
      <c r="G631" s="63"/>
      <c r="H631" s="63"/>
      <c r="I631" s="63"/>
      <c r="J631" s="63"/>
      <c r="K631" s="63"/>
      <c r="L631" s="66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5.75" customHeight="1">
      <c r="A632" s="63"/>
      <c r="B632" s="66"/>
      <c r="C632" s="63"/>
      <c r="D632" s="63"/>
      <c r="E632" s="63"/>
      <c r="F632" s="63"/>
      <c r="G632" s="63"/>
      <c r="H632" s="63"/>
      <c r="I632" s="63"/>
      <c r="J632" s="63"/>
      <c r="K632" s="63"/>
      <c r="L632" s="66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5.75" customHeight="1">
      <c r="A633" s="63"/>
      <c r="B633" s="66"/>
      <c r="C633" s="63"/>
      <c r="D633" s="63"/>
      <c r="E633" s="63"/>
      <c r="F633" s="63"/>
      <c r="G633" s="63"/>
      <c r="H633" s="63"/>
      <c r="I633" s="63"/>
      <c r="J633" s="63"/>
      <c r="K633" s="63"/>
      <c r="L633" s="66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5.75" customHeight="1">
      <c r="A634" s="63"/>
      <c r="B634" s="66"/>
      <c r="C634" s="63"/>
      <c r="D634" s="63"/>
      <c r="E634" s="63"/>
      <c r="F634" s="63"/>
      <c r="G634" s="63"/>
      <c r="H634" s="63"/>
      <c r="I634" s="63"/>
      <c r="J634" s="63"/>
      <c r="K634" s="63"/>
      <c r="L634" s="66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5.75" customHeight="1">
      <c r="A635" s="63"/>
      <c r="B635" s="66"/>
      <c r="C635" s="63"/>
      <c r="D635" s="63"/>
      <c r="E635" s="63"/>
      <c r="F635" s="63"/>
      <c r="G635" s="63"/>
      <c r="H635" s="63"/>
      <c r="I635" s="63"/>
      <c r="J635" s="63"/>
      <c r="K635" s="63"/>
      <c r="L635" s="66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5.75" customHeight="1">
      <c r="A636" s="63"/>
      <c r="B636" s="66"/>
      <c r="C636" s="63"/>
      <c r="D636" s="63"/>
      <c r="E636" s="63"/>
      <c r="F636" s="63"/>
      <c r="G636" s="63"/>
      <c r="H636" s="63"/>
      <c r="I636" s="63"/>
      <c r="J636" s="63"/>
      <c r="K636" s="63"/>
      <c r="L636" s="66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5.75" customHeight="1">
      <c r="A637" s="63"/>
      <c r="B637" s="66"/>
      <c r="C637" s="63"/>
      <c r="D637" s="63"/>
      <c r="E637" s="63"/>
      <c r="F637" s="63"/>
      <c r="G637" s="63"/>
      <c r="H637" s="63"/>
      <c r="I637" s="63"/>
      <c r="J637" s="63"/>
      <c r="K637" s="63"/>
      <c r="L637" s="66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5.75" customHeight="1">
      <c r="A638" s="63"/>
      <c r="B638" s="66"/>
      <c r="C638" s="63"/>
      <c r="D638" s="63"/>
      <c r="E638" s="63"/>
      <c r="F638" s="63"/>
      <c r="G638" s="63"/>
      <c r="H638" s="63"/>
      <c r="I638" s="63"/>
      <c r="J638" s="63"/>
      <c r="K638" s="63"/>
      <c r="L638" s="66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5.75" customHeight="1">
      <c r="A639" s="63"/>
      <c r="B639" s="66"/>
      <c r="C639" s="63"/>
      <c r="D639" s="63"/>
      <c r="E639" s="63"/>
      <c r="F639" s="63"/>
      <c r="G639" s="63"/>
      <c r="H639" s="63"/>
      <c r="I639" s="63"/>
      <c r="J639" s="63"/>
      <c r="K639" s="63"/>
      <c r="L639" s="66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5.75" customHeight="1">
      <c r="A640" s="63"/>
      <c r="B640" s="66"/>
      <c r="C640" s="63"/>
      <c r="D640" s="63"/>
      <c r="E640" s="63"/>
      <c r="F640" s="63"/>
      <c r="G640" s="63"/>
      <c r="H640" s="63"/>
      <c r="I640" s="63"/>
      <c r="J640" s="63"/>
      <c r="K640" s="63"/>
      <c r="L640" s="66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5.75" customHeight="1">
      <c r="A641" s="63"/>
      <c r="B641" s="66"/>
      <c r="C641" s="63"/>
      <c r="D641" s="63"/>
      <c r="E641" s="63"/>
      <c r="F641" s="63"/>
      <c r="G641" s="63"/>
      <c r="H641" s="63"/>
      <c r="I641" s="63"/>
      <c r="J641" s="63"/>
      <c r="K641" s="63"/>
      <c r="L641" s="66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5.75" customHeight="1">
      <c r="A642" s="63"/>
      <c r="B642" s="66"/>
      <c r="C642" s="63"/>
      <c r="D642" s="63"/>
      <c r="E642" s="63"/>
      <c r="F642" s="63"/>
      <c r="G642" s="63"/>
      <c r="H642" s="63"/>
      <c r="I642" s="63"/>
      <c r="J642" s="63"/>
      <c r="K642" s="63"/>
      <c r="L642" s="66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5.75" customHeight="1">
      <c r="A643" s="63"/>
      <c r="B643" s="66"/>
      <c r="C643" s="63"/>
      <c r="D643" s="63"/>
      <c r="E643" s="63"/>
      <c r="F643" s="63"/>
      <c r="G643" s="63"/>
      <c r="H643" s="63"/>
      <c r="I643" s="63"/>
      <c r="J643" s="63"/>
      <c r="K643" s="63"/>
      <c r="L643" s="66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5.75" customHeight="1">
      <c r="A644" s="63"/>
      <c r="B644" s="66"/>
      <c r="C644" s="63"/>
      <c r="D644" s="63"/>
      <c r="E644" s="63"/>
      <c r="F644" s="63"/>
      <c r="G644" s="63"/>
      <c r="H644" s="63"/>
      <c r="I644" s="63"/>
      <c r="J644" s="63"/>
      <c r="K644" s="63"/>
      <c r="L644" s="66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5.75" customHeight="1">
      <c r="A645" s="63"/>
      <c r="B645" s="66"/>
      <c r="C645" s="63"/>
      <c r="D645" s="63"/>
      <c r="E645" s="63"/>
      <c r="F645" s="63"/>
      <c r="G645" s="63"/>
      <c r="H645" s="63"/>
      <c r="I645" s="63"/>
      <c r="J645" s="63"/>
      <c r="K645" s="63"/>
      <c r="L645" s="66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5.75" customHeight="1">
      <c r="A646" s="63"/>
      <c r="B646" s="66"/>
      <c r="C646" s="63"/>
      <c r="D646" s="63"/>
      <c r="E646" s="63"/>
      <c r="F646" s="63"/>
      <c r="G646" s="63"/>
      <c r="H646" s="63"/>
      <c r="I646" s="63"/>
      <c r="J646" s="63"/>
      <c r="K646" s="63"/>
      <c r="L646" s="66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5.75" customHeight="1">
      <c r="A647" s="63"/>
      <c r="B647" s="66"/>
      <c r="C647" s="63"/>
      <c r="D647" s="63"/>
      <c r="E647" s="63"/>
      <c r="F647" s="63"/>
      <c r="G647" s="63"/>
      <c r="H647" s="63"/>
      <c r="I647" s="63"/>
      <c r="J647" s="63"/>
      <c r="K647" s="63"/>
      <c r="L647" s="66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5.75" customHeight="1">
      <c r="A648" s="63"/>
      <c r="B648" s="66"/>
      <c r="C648" s="63"/>
      <c r="D648" s="63"/>
      <c r="E648" s="63"/>
      <c r="F648" s="63"/>
      <c r="G648" s="63"/>
      <c r="H648" s="63"/>
      <c r="I648" s="63"/>
      <c r="J648" s="63"/>
      <c r="K648" s="63"/>
      <c r="L648" s="66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5.75" customHeight="1">
      <c r="A649" s="63"/>
      <c r="B649" s="66"/>
      <c r="C649" s="63"/>
      <c r="D649" s="63"/>
      <c r="E649" s="63"/>
      <c r="F649" s="63"/>
      <c r="G649" s="63"/>
      <c r="H649" s="63"/>
      <c r="I649" s="63"/>
      <c r="J649" s="63"/>
      <c r="K649" s="63"/>
      <c r="L649" s="66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5.75" customHeight="1">
      <c r="A650" s="63"/>
      <c r="B650" s="66"/>
      <c r="C650" s="63"/>
      <c r="D650" s="63"/>
      <c r="E650" s="63"/>
      <c r="F650" s="63"/>
      <c r="G650" s="63"/>
      <c r="H650" s="63"/>
      <c r="I650" s="63"/>
      <c r="J650" s="63"/>
      <c r="K650" s="63"/>
      <c r="L650" s="66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5.75" customHeight="1">
      <c r="A651" s="63"/>
      <c r="B651" s="66"/>
      <c r="C651" s="63"/>
      <c r="D651" s="63"/>
      <c r="E651" s="63"/>
      <c r="F651" s="63"/>
      <c r="G651" s="63"/>
      <c r="H651" s="63"/>
      <c r="I651" s="63"/>
      <c r="J651" s="63"/>
      <c r="K651" s="63"/>
      <c r="L651" s="66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5.75" customHeight="1">
      <c r="A652" s="63"/>
      <c r="B652" s="66"/>
      <c r="C652" s="63"/>
      <c r="D652" s="63"/>
      <c r="E652" s="63"/>
      <c r="F652" s="63"/>
      <c r="G652" s="63"/>
      <c r="H652" s="63"/>
      <c r="I652" s="63"/>
      <c r="J652" s="63"/>
      <c r="K652" s="63"/>
      <c r="L652" s="66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5.75" customHeight="1">
      <c r="A653" s="63"/>
      <c r="B653" s="66"/>
      <c r="C653" s="63"/>
      <c r="D653" s="63"/>
      <c r="E653" s="63"/>
      <c r="F653" s="63"/>
      <c r="G653" s="63"/>
      <c r="H653" s="63"/>
      <c r="I653" s="63"/>
      <c r="J653" s="63"/>
      <c r="K653" s="63"/>
      <c r="L653" s="66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5.75" customHeight="1">
      <c r="A654" s="63"/>
      <c r="B654" s="66"/>
      <c r="C654" s="63"/>
      <c r="D654" s="63"/>
      <c r="E654" s="63"/>
      <c r="F654" s="63"/>
      <c r="G654" s="63"/>
      <c r="H654" s="63"/>
      <c r="I654" s="63"/>
      <c r="J654" s="63"/>
      <c r="K654" s="63"/>
      <c r="L654" s="66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5.75" customHeight="1">
      <c r="A655" s="63"/>
      <c r="B655" s="66"/>
      <c r="C655" s="63"/>
      <c r="D655" s="63"/>
      <c r="E655" s="63"/>
      <c r="F655" s="63"/>
      <c r="G655" s="63"/>
      <c r="H655" s="63"/>
      <c r="I655" s="63"/>
      <c r="J655" s="63"/>
      <c r="K655" s="63"/>
      <c r="L655" s="66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5.75" customHeight="1">
      <c r="A656" s="63"/>
      <c r="B656" s="66"/>
      <c r="C656" s="63"/>
      <c r="D656" s="63"/>
      <c r="E656" s="63"/>
      <c r="F656" s="63"/>
      <c r="G656" s="63"/>
      <c r="H656" s="63"/>
      <c r="I656" s="63"/>
      <c r="J656" s="63"/>
      <c r="K656" s="63"/>
      <c r="L656" s="66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5.75" customHeight="1">
      <c r="A657" s="63"/>
      <c r="B657" s="66"/>
      <c r="C657" s="63"/>
      <c r="D657" s="63"/>
      <c r="E657" s="63"/>
      <c r="F657" s="63"/>
      <c r="G657" s="63"/>
      <c r="H657" s="63"/>
      <c r="I657" s="63"/>
      <c r="J657" s="63"/>
      <c r="K657" s="63"/>
      <c r="L657" s="66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5.75" customHeight="1">
      <c r="A658" s="63"/>
      <c r="B658" s="66"/>
      <c r="C658" s="63"/>
      <c r="D658" s="63"/>
      <c r="E658" s="63"/>
      <c r="F658" s="63"/>
      <c r="G658" s="63"/>
      <c r="H658" s="63"/>
      <c r="I658" s="63"/>
      <c r="J658" s="63"/>
      <c r="K658" s="63"/>
      <c r="L658" s="66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5.75" customHeight="1">
      <c r="A659" s="63"/>
      <c r="B659" s="66"/>
      <c r="C659" s="63"/>
      <c r="D659" s="63"/>
      <c r="E659" s="63"/>
      <c r="F659" s="63"/>
      <c r="G659" s="63"/>
      <c r="H659" s="63"/>
      <c r="I659" s="63"/>
      <c r="J659" s="63"/>
      <c r="K659" s="63"/>
      <c r="L659" s="66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5.75" customHeight="1">
      <c r="A660" s="63"/>
      <c r="B660" s="66"/>
      <c r="C660" s="63"/>
      <c r="D660" s="63"/>
      <c r="E660" s="63"/>
      <c r="F660" s="63"/>
      <c r="G660" s="63"/>
      <c r="H660" s="63"/>
      <c r="I660" s="63"/>
      <c r="J660" s="63"/>
      <c r="K660" s="63"/>
      <c r="L660" s="66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5.75" customHeight="1">
      <c r="A661" s="63"/>
      <c r="B661" s="66"/>
      <c r="C661" s="63"/>
      <c r="D661" s="63"/>
      <c r="E661" s="63"/>
      <c r="F661" s="63"/>
      <c r="G661" s="63"/>
      <c r="H661" s="63"/>
      <c r="I661" s="63"/>
      <c r="J661" s="63"/>
      <c r="K661" s="63"/>
      <c r="L661" s="66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5.75" customHeight="1">
      <c r="A662" s="63"/>
      <c r="B662" s="66"/>
      <c r="C662" s="63"/>
      <c r="D662" s="63"/>
      <c r="E662" s="63"/>
      <c r="F662" s="63"/>
      <c r="G662" s="63"/>
      <c r="H662" s="63"/>
      <c r="I662" s="63"/>
      <c r="J662" s="63"/>
      <c r="K662" s="63"/>
      <c r="L662" s="66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5.75" customHeight="1">
      <c r="A663" s="63"/>
      <c r="B663" s="66"/>
      <c r="C663" s="63"/>
      <c r="D663" s="63"/>
      <c r="E663" s="63"/>
      <c r="F663" s="63"/>
      <c r="G663" s="63"/>
      <c r="H663" s="63"/>
      <c r="I663" s="63"/>
      <c r="J663" s="63"/>
      <c r="K663" s="63"/>
      <c r="L663" s="66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5.75" customHeight="1">
      <c r="A664" s="63"/>
      <c r="B664" s="66"/>
      <c r="C664" s="63"/>
      <c r="D664" s="63"/>
      <c r="E664" s="63"/>
      <c r="F664" s="63"/>
      <c r="G664" s="63"/>
      <c r="H664" s="63"/>
      <c r="I664" s="63"/>
      <c r="J664" s="63"/>
      <c r="K664" s="63"/>
      <c r="L664" s="66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5.75" customHeight="1">
      <c r="A665" s="63"/>
      <c r="B665" s="66"/>
      <c r="C665" s="63"/>
      <c r="D665" s="63"/>
      <c r="E665" s="63"/>
      <c r="F665" s="63"/>
      <c r="G665" s="63"/>
      <c r="H665" s="63"/>
      <c r="I665" s="63"/>
      <c r="J665" s="63"/>
      <c r="K665" s="63"/>
      <c r="L665" s="66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5.75" customHeight="1">
      <c r="A666" s="63"/>
      <c r="B666" s="66"/>
      <c r="C666" s="63"/>
      <c r="D666" s="63"/>
      <c r="E666" s="63"/>
      <c r="F666" s="63"/>
      <c r="G666" s="63"/>
      <c r="H666" s="63"/>
      <c r="I666" s="63"/>
      <c r="J666" s="63"/>
      <c r="K666" s="63"/>
      <c r="L666" s="66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5.75" customHeight="1">
      <c r="A667" s="63"/>
      <c r="B667" s="66"/>
      <c r="C667" s="63"/>
      <c r="D667" s="63"/>
      <c r="E667" s="63"/>
      <c r="F667" s="63"/>
      <c r="G667" s="63"/>
      <c r="H667" s="63"/>
      <c r="I667" s="63"/>
      <c r="J667" s="63"/>
      <c r="K667" s="63"/>
      <c r="L667" s="66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5.75" customHeight="1">
      <c r="A668" s="63"/>
      <c r="B668" s="66"/>
      <c r="C668" s="63"/>
      <c r="D668" s="63"/>
      <c r="E668" s="63"/>
      <c r="F668" s="63"/>
      <c r="G668" s="63"/>
      <c r="H668" s="63"/>
      <c r="I668" s="63"/>
      <c r="J668" s="63"/>
      <c r="K668" s="63"/>
      <c r="L668" s="66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5.75" customHeight="1">
      <c r="A669" s="63"/>
      <c r="B669" s="66"/>
      <c r="C669" s="63"/>
      <c r="D669" s="63"/>
      <c r="E669" s="63"/>
      <c r="F669" s="63"/>
      <c r="G669" s="63"/>
      <c r="H669" s="63"/>
      <c r="I669" s="63"/>
      <c r="J669" s="63"/>
      <c r="K669" s="63"/>
      <c r="L669" s="66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5.75" customHeight="1">
      <c r="A670" s="63"/>
      <c r="B670" s="66"/>
      <c r="C670" s="63"/>
      <c r="D670" s="63"/>
      <c r="E670" s="63"/>
      <c r="F670" s="63"/>
      <c r="G670" s="63"/>
      <c r="H670" s="63"/>
      <c r="I670" s="63"/>
      <c r="J670" s="63"/>
      <c r="K670" s="63"/>
      <c r="L670" s="66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5.75" customHeight="1">
      <c r="A671" s="63"/>
      <c r="B671" s="66"/>
      <c r="C671" s="63"/>
      <c r="D671" s="63"/>
      <c r="E671" s="63"/>
      <c r="F671" s="63"/>
      <c r="G671" s="63"/>
      <c r="H671" s="63"/>
      <c r="I671" s="63"/>
      <c r="J671" s="63"/>
      <c r="K671" s="63"/>
      <c r="L671" s="66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5.75" customHeight="1">
      <c r="A672" s="63"/>
      <c r="B672" s="66"/>
      <c r="C672" s="63"/>
      <c r="D672" s="63"/>
      <c r="E672" s="63"/>
      <c r="F672" s="63"/>
      <c r="G672" s="63"/>
      <c r="H672" s="63"/>
      <c r="I672" s="63"/>
      <c r="J672" s="63"/>
      <c r="K672" s="63"/>
      <c r="L672" s="66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5.75" customHeight="1">
      <c r="A673" s="63"/>
      <c r="B673" s="66"/>
      <c r="C673" s="63"/>
      <c r="D673" s="63"/>
      <c r="E673" s="63"/>
      <c r="F673" s="63"/>
      <c r="G673" s="63"/>
      <c r="H673" s="63"/>
      <c r="I673" s="63"/>
      <c r="J673" s="63"/>
      <c r="K673" s="63"/>
      <c r="L673" s="66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5.75" customHeight="1">
      <c r="A674" s="63"/>
      <c r="B674" s="66"/>
      <c r="C674" s="63"/>
      <c r="D674" s="63"/>
      <c r="E674" s="63"/>
      <c r="F674" s="63"/>
      <c r="G674" s="63"/>
      <c r="H674" s="63"/>
      <c r="I674" s="63"/>
      <c r="J674" s="63"/>
      <c r="K674" s="63"/>
      <c r="L674" s="66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5.75" customHeight="1">
      <c r="A675" s="63"/>
      <c r="B675" s="66"/>
      <c r="C675" s="63"/>
      <c r="D675" s="63"/>
      <c r="E675" s="63"/>
      <c r="F675" s="63"/>
      <c r="G675" s="63"/>
      <c r="H675" s="63"/>
      <c r="I675" s="63"/>
      <c r="J675" s="63"/>
      <c r="K675" s="63"/>
      <c r="L675" s="66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5.75" customHeight="1">
      <c r="A676" s="63"/>
      <c r="B676" s="66"/>
      <c r="C676" s="63"/>
      <c r="D676" s="63"/>
      <c r="E676" s="63"/>
      <c r="F676" s="63"/>
      <c r="G676" s="63"/>
      <c r="H676" s="63"/>
      <c r="I676" s="63"/>
      <c r="J676" s="63"/>
      <c r="K676" s="63"/>
      <c r="L676" s="66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5.75" customHeight="1">
      <c r="A677" s="63"/>
      <c r="B677" s="66"/>
      <c r="C677" s="63"/>
      <c r="D677" s="63"/>
      <c r="E677" s="63"/>
      <c r="F677" s="63"/>
      <c r="G677" s="63"/>
      <c r="H677" s="63"/>
      <c r="I677" s="63"/>
      <c r="J677" s="63"/>
      <c r="K677" s="63"/>
      <c r="L677" s="66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5.75" customHeight="1">
      <c r="A678" s="63"/>
      <c r="B678" s="66"/>
      <c r="C678" s="63"/>
      <c r="D678" s="63"/>
      <c r="E678" s="63"/>
      <c r="F678" s="63"/>
      <c r="G678" s="63"/>
      <c r="H678" s="63"/>
      <c r="I678" s="63"/>
      <c r="J678" s="63"/>
      <c r="K678" s="63"/>
      <c r="L678" s="66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5.75" customHeight="1">
      <c r="A679" s="63"/>
      <c r="B679" s="66"/>
      <c r="C679" s="63"/>
      <c r="D679" s="63"/>
      <c r="E679" s="63"/>
      <c r="F679" s="63"/>
      <c r="G679" s="63"/>
      <c r="H679" s="63"/>
      <c r="I679" s="63"/>
      <c r="J679" s="63"/>
      <c r="K679" s="63"/>
      <c r="L679" s="66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5.75" customHeight="1">
      <c r="A680" s="63"/>
      <c r="B680" s="66"/>
      <c r="C680" s="63"/>
      <c r="D680" s="63"/>
      <c r="E680" s="63"/>
      <c r="F680" s="63"/>
      <c r="G680" s="63"/>
      <c r="H680" s="63"/>
      <c r="I680" s="63"/>
      <c r="J680" s="63"/>
      <c r="K680" s="63"/>
      <c r="L680" s="66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5.75" customHeight="1">
      <c r="A681" s="63"/>
      <c r="B681" s="66"/>
      <c r="C681" s="63"/>
      <c r="D681" s="63"/>
      <c r="E681" s="63"/>
      <c r="F681" s="63"/>
      <c r="G681" s="63"/>
      <c r="H681" s="63"/>
      <c r="I681" s="63"/>
      <c r="J681" s="63"/>
      <c r="K681" s="63"/>
      <c r="L681" s="66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5.75" customHeight="1">
      <c r="A682" s="63"/>
      <c r="B682" s="66"/>
      <c r="C682" s="63"/>
      <c r="D682" s="63"/>
      <c r="E682" s="63"/>
      <c r="F682" s="63"/>
      <c r="G682" s="63"/>
      <c r="H682" s="63"/>
      <c r="I682" s="63"/>
      <c r="J682" s="63"/>
      <c r="K682" s="63"/>
      <c r="L682" s="66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5.75" customHeight="1">
      <c r="A683" s="63"/>
      <c r="B683" s="66"/>
      <c r="C683" s="63"/>
      <c r="D683" s="63"/>
      <c r="E683" s="63"/>
      <c r="F683" s="63"/>
      <c r="G683" s="63"/>
      <c r="H683" s="63"/>
      <c r="I683" s="63"/>
      <c r="J683" s="63"/>
      <c r="K683" s="63"/>
      <c r="L683" s="66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5.75" customHeight="1">
      <c r="A684" s="63"/>
      <c r="B684" s="66"/>
      <c r="C684" s="63"/>
      <c r="D684" s="63"/>
      <c r="E684" s="63"/>
      <c r="F684" s="63"/>
      <c r="G684" s="63"/>
      <c r="H684" s="63"/>
      <c r="I684" s="63"/>
      <c r="J684" s="63"/>
      <c r="K684" s="63"/>
      <c r="L684" s="66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5.75" customHeight="1">
      <c r="A685" s="63"/>
      <c r="B685" s="66"/>
      <c r="C685" s="63"/>
      <c r="D685" s="63"/>
      <c r="E685" s="63"/>
      <c r="F685" s="63"/>
      <c r="G685" s="63"/>
      <c r="H685" s="63"/>
      <c r="I685" s="63"/>
      <c r="J685" s="63"/>
      <c r="K685" s="63"/>
      <c r="L685" s="66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5.75" customHeight="1">
      <c r="A686" s="63"/>
      <c r="B686" s="66"/>
      <c r="C686" s="63"/>
      <c r="D686" s="63"/>
      <c r="E686" s="63"/>
      <c r="F686" s="63"/>
      <c r="G686" s="63"/>
      <c r="H686" s="63"/>
      <c r="I686" s="63"/>
      <c r="J686" s="63"/>
      <c r="K686" s="63"/>
      <c r="L686" s="66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5.75" customHeight="1">
      <c r="A687" s="63"/>
      <c r="B687" s="66"/>
      <c r="C687" s="63"/>
      <c r="D687" s="63"/>
      <c r="E687" s="63"/>
      <c r="F687" s="63"/>
      <c r="G687" s="63"/>
      <c r="H687" s="63"/>
      <c r="I687" s="63"/>
      <c r="J687" s="63"/>
      <c r="K687" s="63"/>
      <c r="L687" s="66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5.75" customHeight="1">
      <c r="A688" s="63"/>
      <c r="B688" s="66"/>
      <c r="C688" s="63"/>
      <c r="D688" s="63"/>
      <c r="E688" s="63"/>
      <c r="F688" s="63"/>
      <c r="G688" s="63"/>
      <c r="H688" s="63"/>
      <c r="I688" s="63"/>
      <c r="J688" s="63"/>
      <c r="K688" s="63"/>
      <c r="L688" s="66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5.75" customHeight="1">
      <c r="A689" s="63"/>
      <c r="B689" s="66"/>
      <c r="C689" s="63"/>
      <c r="D689" s="63"/>
      <c r="E689" s="63"/>
      <c r="F689" s="63"/>
      <c r="G689" s="63"/>
      <c r="H689" s="63"/>
      <c r="I689" s="63"/>
      <c r="J689" s="63"/>
      <c r="K689" s="63"/>
      <c r="L689" s="66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5.75" customHeight="1">
      <c r="A690" s="63"/>
      <c r="B690" s="66"/>
      <c r="C690" s="63"/>
      <c r="D690" s="63"/>
      <c r="E690" s="63"/>
      <c r="F690" s="63"/>
      <c r="G690" s="63"/>
      <c r="H690" s="63"/>
      <c r="I690" s="63"/>
      <c r="J690" s="63"/>
      <c r="K690" s="63"/>
      <c r="L690" s="66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5.75" customHeight="1">
      <c r="A691" s="63"/>
      <c r="B691" s="66"/>
      <c r="C691" s="63"/>
      <c r="D691" s="63"/>
      <c r="E691" s="63"/>
      <c r="F691" s="63"/>
      <c r="G691" s="63"/>
      <c r="H691" s="63"/>
      <c r="I691" s="63"/>
      <c r="J691" s="63"/>
      <c r="K691" s="63"/>
      <c r="L691" s="66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5.75" customHeight="1">
      <c r="A692" s="63"/>
      <c r="B692" s="66"/>
      <c r="C692" s="63"/>
      <c r="D692" s="63"/>
      <c r="E692" s="63"/>
      <c r="F692" s="63"/>
      <c r="G692" s="63"/>
      <c r="H692" s="63"/>
      <c r="I692" s="63"/>
      <c r="J692" s="63"/>
      <c r="K692" s="63"/>
      <c r="L692" s="66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5.75" customHeight="1">
      <c r="A693" s="63"/>
      <c r="B693" s="66"/>
      <c r="C693" s="63"/>
      <c r="D693" s="63"/>
      <c r="E693" s="63"/>
      <c r="F693" s="63"/>
      <c r="G693" s="63"/>
      <c r="H693" s="63"/>
      <c r="I693" s="63"/>
      <c r="J693" s="63"/>
      <c r="K693" s="63"/>
      <c r="L693" s="66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5.75" customHeight="1">
      <c r="A694" s="63"/>
      <c r="B694" s="66"/>
      <c r="C694" s="63"/>
      <c r="D694" s="63"/>
      <c r="E694" s="63"/>
      <c r="F694" s="63"/>
      <c r="G694" s="63"/>
      <c r="H694" s="63"/>
      <c r="I694" s="63"/>
      <c r="J694" s="63"/>
      <c r="K694" s="63"/>
      <c r="L694" s="66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5.75" customHeight="1">
      <c r="A695" s="63"/>
      <c r="B695" s="66"/>
      <c r="C695" s="63"/>
      <c r="D695" s="63"/>
      <c r="E695" s="63"/>
      <c r="F695" s="63"/>
      <c r="G695" s="63"/>
      <c r="H695" s="63"/>
      <c r="I695" s="63"/>
      <c r="J695" s="63"/>
      <c r="K695" s="63"/>
      <c r="L695" s="66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5.75" customHeight="1">
      <c r="A696" s="63"/>
      <c r="B696" s="66"/>
      <c r="C696" s="63"/>
      <c r="D696" s="63"/>
      <c r="E696" s="63"/>
      <c r="F696" s="63"/>
      <c r="G696" s="63"/>
      <c r="H696" s="63"/>
      <c r="I696" s="63"/>
      <c r="J696" s="63"/>
      <c r="K696" s="63"/>
      <c r="L696" s="66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5.75" customHeight="1">
      <c r="A697" s="63"/>
      <c r="B697" s="66"/>
      <c r="C697" s="63"/>
      <c r="D697" s="63"/>
      <c r="E697" s="63"/>
      <c r="F697" s="63"/>
      <c r="G697" s="63"/>
      <c r="H697" s="63"/>
      <c r="I697" s="63"/>
      <c r="J697" s="63"/>
      <c r="K697" s="63"/>
      <c r="L697" s="66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5.75" customHeight="1">
      <c r="A698" s="63"/>
      <c r="B698" s="66"/>
      <c r="C698" s="63"/>
      <c r="D698" s="63"/>
      <c r="E698" s="63"/>
      <c r="F698" s="63"/>
      <c r="G698" s="63"/>
      <c r="H698" s="63"/>
      <c r="I698" s="63"/>
      <c r="J698" s="63"/>
      <c r="K698" s="63"/>
      <c r="L698" s="66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5.75" customHeight="1">
      <c r="A699" s="63"/>
      <c r="B699" s="66"/>
      <c r="C699" s="63"/>
      <c r="D699" s="63"/>
      <c r="E699" s="63"/>
      <c r="F699" s="63"/>
      <c r="G699" s="63"/>
      <c r="H699" s="63"/>
      <c r="I699" s="63"/>
      <c r="J699" s="63"/>
      <c r="K699" s="63"/>
      <c r="L699" s="66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5.75" customHeight="1">
      <c r="A700" s="63"/>
      <c r="B700" s="66"/>
      <c r="C700" s="63"/>
      <c r="D700" s="63"/>
      <c r="E700" s="63"/>
      <c r="F700" s="63"/>
      <c r="G700" s="63"/>
      <c r="H700" s="63"/>
      <c r="I700" s="63"/>
      <c r="J700" s="63"/>
      <c r="K700" s="63"/>
      <c r="L700" s="66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5.75" customHeight="1">
      <c r="A701" s="63"/>
      <c r="B701" s="66"/>
      <c r="C701" s="63"/>
      <c r="D701" s="63"/>
      <c r="E701" s="63"/>
      <c r="F701" s="63"/>
      <c r="G701" s="63"/>
      <c r="H701" s="63"/>
      <c r="I701" s="63"/>
      <c r="J701" s="63"/>
      <c r="K701" s="63"/>
      <c r="L701" s="66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5.75" customHeight="1">
      <c r="A702" s="63"/>
      <c r="B702" s="66"/>
      <c r="C702" s="63"/>
      <c r="D702" s="63"/>
      <c r="E702" s="63"/>
      <c r="F702" s="63"/>
      <c r="G702" s="63"/>
      <c r="H702" s="63"/>
      <c r="I702" s="63"/>
      <c r="J702" s="63"/>
      <c r="K702" s="63"/>
      <c r="L702" s="66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5.75" customHeight="1">
      <c r="A703" s="63"/>
      <c r="B703" s="66"/>
      <c r="C703" s="63"/>
      <c r="D703" s="63"/>
      <c r="E703" s="63"/>
      <c r="F703" s="63"/>
      <c r="G703" s="63"/>
      <c r="H703" s="63"/>
      <c r="I703" s="63"/>
      <c r="J703" s="63"/>
      <c r="K703" s="63"/>
      <c r="L703" s="66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5.75" customHeight="1">
      <c r="A704" s="63"/>
      <c r="B704" s="66"/>
      <c r="C704" s="63"/>
      <c r="D704" s="63"/>
      <c r="E704" s="63"/>
      <c r="F704" s="63"/>
      <c r="G704" s="63"/>
      <c r="H704" s="63"/>
      <c r="I704" s="63"/>
      <c r="J704" s="63"/>
      <c r="K704" s="63"/>
      <c r="L704" s="66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5.75" customHeight="1">
      <c r="A705" s="63"/>
      <c r="B705" s="66"/>
      <c r="C705" s="63"/>
      <c r="D705" s="63"/>
      <c r="E705" s="63"/>
      <c r="F705" s="63"/>
      <c r="G705" s="63"/>
      <c r="H705" s="63"/>
      <c r="I705" s="63"/>
      <c r="J705" s="63"/>
      <c r="K705" s="63"/>
      <c r="L705" s="66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5.75" customHeight="1">
      <c r="A706" s="63"/>
      <c r="B706" s="66"/>
      <c r="C706" s="63"/>
      <c r="D706" s="63"/>
      <c r="E706" s="63"/>
      <c r="F706" s="63"/>
      <c r="G706" s="63"/>
      <c r="H706" s="63"/>
      <c r="I706" s="63"/>
      <c r="J706" s="63"/>
      <c r="K706" s="63"/>
      <c r="L706" s="66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5.75" customHeight="1">
      <c r="A707" s="63"/>
      <c r="B707" s="66"/>
      <c r="C707" s="63"/>
      <c r="D707" s="63"/>
      <c r="E707" s="63"/>
      <c r="F707" s="63"/>
      <c r="G707" s="63"/>
      <c r="H707" s="63"/>
      <c r="I707" s="63"/>
      <c r="J707" s="63"/>
      <c r="K707" s="63"/>
      <c r="L707" s="66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5.75" customHeight="1">
      <c r="A708" s="63"/>
      <c r="B708" s="66"/>
      <c r="C708" s="63"/>
      <c r="D708" s="63"/>
      <c r="E708" s="63"/>
      <c r="F708" s="63"/>
      <c r="G708" s="63"/>
      <c r="H708" s="63"/>
      <c r="I708" s="63"/>
      <c r="J708" s="63"/>
      <c r="K708" s="63"/>
      <c r="L708" s="66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5.75" customHeight="1">
      <c r="A709" s="63"/>
      <c r="B709" s="66"/>
      <c r="C709" s="63"/>
      <c r="D709" s="63"/>
      <c r="E709" s="63"/>
      <c r="F709" s="63"/>
      <c r="G709" s="63"/>
      <c r="H709" s="63"/>
      <c r="I709" s="63"/>
      <c r="J709" s="63"/>
      <c r="K709" s="63"/>
      <c r="L709" s="66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5.75" customHeight="1">
      <c r="A710" s="63"/>
      <c r="B710" s="66"/>
      <c r="C710" s="63"/>
      <c r="D710" s="63"/>
      <c r="E710" s="63"/>
      <c r="F710" s="63"/>
      <c r="G710" s="63"/>
      <c r="H710" s="63"/>
      <c r="I710" s="63"/>
      <c r="J710" s="63"/>
      <c r="K710" s="63"/>
      <c r="L710" s="66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5.75" customHeight="1">
      <c r="A711" s="63"/>
      <c r="B711" s="66"/>
      <c r="C711" s="63"/>
      <c r="D711" s="63"/>
      <c r="E711" s="63"/>
      <c r="F711" s="63"/>
      <c r="G711" s="63"/>
      <c r="H711" s="63"/>
      <c r="I711" s="63"/>
      <c r="J711" s="63"/>
      <c r="K711" s="63"/>
      <c r="L711" s="66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5.75" customHeight="1">
      <c r="A712" s="63"/>
      <c r="B712" s="66"/>
      <c r="C712" s="63"/>
      <c r="D712" s="63"/>
      <c r="E712" s="63"/>
      <c r="F712" s="63"/>
      <c r="G712" s="63"/>
      <c r="H712" s="63"/>
      <c r="I712" s="63"/>
      <c r="J712" s="63"/>
      <c r="K712" s="63"/>
      <c r="L712" s="66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5.75" customHeight="1">
      <c r="A713" s="63"/>
      <c r="B713" s="66"/>
      <c r="C713" s="63"/>
      <c r="D713" s="63"/>
      <c r="E713" s="63"/>
      <c r="F713" s="63"/>
      <c r="G713" s="63"/>
      <c r="H713" s="63"/>
      <c r="I713" s="63"/>
      <c r="J713" s="63"/>
      <c r="K713" s="63"/>
      <c r="L713" s="66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5.75" customHeight="1">
      <c r="A714" s="63"/>
      <c r="B714" s="66"/>
      <c r="C714" s="63"/>
      <c r="D714" s="63"/>
      <c r="E714" s="63"/>
      <c r="F714" s="63"/>
      <c r="G714" s="63"/>
      <c r="H714" s="63"/>
      <c r="I714" s="63"/>
      <c r="J714" s="63"/>
      <c r="K714" s="63"/>
      <c r="L714" s="66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5.75" customHeight="1">
      <c r="A715" s="63"/>
      <c r="B715" s="66"/>
      <c r="C715" s="63"/>
      <c r="D715" s="63"/>
      <c r="E715" s="63"/>
      <c r="F715" s="63"/>
      <c r="G715" s="63"/>
      <c r="H715" s="63"/>
      <c r="I715" s="63"/>
      <c r="J715" s="63"/>
      <c r="K715" s="63"/>
      <c r="L715" s="66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5.75" customHeight="1">
      <c r="A716" s="63"/>
      <c r="B716" s="66"/>
      <c r="C716" s="63"/>
      <c r="D716" s="63"/>
      <c r="E716" s="63"/>
      <c r="F716" s="63"/>
      <c r="G716" s="63"/>
      <c r="H716" s="63"/>
      <c r="I716" s="63"/>
      <c r="J716" s="63"/>
      <c r="K716" s="63"/>
      <c r="L716" s="66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5.75" customHeight="1">
      <c r="A717" s="63"/>
      <c r="B717" s="66"/>
      <c r="C717" s="63"/>
      <c r="D717" s="63"/>
      <c r="E717" s="63"/>
      <c r="F717" s="63"/>
      <c r="G717" s="63"/>
      <c r="H717" s="63"/>
      <c r="I717" s="63"/>
      <c r="J717" s="63"/>
      <c r="K717" s="63"/>
      <c r="L717" s="66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5.75" customHeight="1">
      <c r="A718" s="63"/>
      <c r="B718" s="66"/>
      <c r="C718" s="63"/>
      <c r="D718" s="63"/>
      <c r="E718" s="63"/>
      <c r="F718" s="63"/>
      <c r="G718" s="63"/>
      <c r="H718" s="63"/>
      <c r="I718" s="63"/>
      <c r="J718" s="63"/>
      <c r="K718" s="63"/>
      <c r="L718" s="66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5.75" customHeight="1">
      <c r="A719" s="63"/>
      <c r="B719" s="66"/>
      <c r="C719" s="63"/>
      <c r="D719" s="63"/>
      <c r="E719" s="63"/>
      <c r="F719" s="63"/>
      <c r="G719" s="63"/>
      <c r="H719" s="63"/>
      <c r="I719" s="63"/>
      <c r="J719" s="63"/>
      <c r="K719" s="63"/>
      <c r="L719" s="66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5.75" customHeight="1">
      <c r="A720" s="63"/>
      <c r="B720" s="66"/>
      <c r="C720" s="63"/>
      <c r="D720" s="63"/>
      <c r="E720" s="63"/>
      <c r="F720" s="63"/>
      <c r="G720" s="63"/>
      <c r="H720" s="63"/>
      <c r="I720" s="63"/>
      <c r="J720" s="63"/>
      <c r="K720" s="63"/>
      <c r="L720" s="66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5.75" customHeight="1">
      <c r="A721" s="63"/>
      <c r="B721" s="66"/>
      <c r="C721" s="63"/>
      <c r="D721" s="63"/>
      <c r="E721" s="63"/>
      <c r="F721" s="63"/>
      <c r="G721" s="63"/>
      <c r="H721" s="63"/>
      <c r="I721" s="63"/>
      <c r="J721" s="63"/>
      <c r="K721" s="63"/>
      <c r="L721" s="66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5.75" customHeight="1">
      <c r="A722" s="63"/>
      <c r="B722" s="66"/>
      <c r="C722" s="63"/>
      <c r="D722" s="63"/>
      <c r="E722" s="63"/>
      <c r="F722" s="63"/>
      <c r="G722" s="63"/>
      <c r="H722" s="63"/>
      <c r="I722" s="63"/>
      <c r="J722" s="63"/>
      <c r="K722" s="63"/>
      <c r="L722" s="66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5.75" customHeight="1">
      <c r="A723" s="63"/>
      <c r="B723" s="66"/>
      <c r="C723" s="63"/>
      <c r="D723" s="63"/>
      <c r="E723" s="63"/>
      <c r="F723" s="63"/>
      <c r="G723" s="63"/>
      <c r="H723" s="63"/>
      <c r="I723" s="63"/>
      <c r="J723" s="63"/>
      <c r="K723" s="63"/>
      <c r="L723" s="66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5.75" customHeight="1">
      <c r="A724" s="63"/>
      <c r="B724" s="66"/>
      <c r="C724" s="63"/>
      <c r="D724" s="63"/>
      <c r="E724" s="63"/>
      <c r="F724" s="63"/>
      <c r="G724" s="63"/>
      <c r="H724" s="63"/>
      <c r="I724" s="63"/>
      <c r="J724" s="63"/>
      <c r="K724" s="63"/>
      <c r="L724" s="66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5.75" customHeight="1">
      <c r="A725" s="63"/>
      <c r="B725" s="66"/>
      <c r="C725" s="63"/>
      <c r="D725" s="63"/>
      <c r="E725" s="63"/>
      <c r="F725" s="63"/>
      <c r="G725" s="63"/>
      <c r="H725" s="63"/>
      <c r="I725" s="63"/>
      <c r="J725" s="63"/>
      <c r="K725" s="63"/>
      <c r="L725" s="66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5.75" customHeight="1">
      <c r="A726" s="63"/>
      <c r="B726" s="66"/>
      <c r="C726" s="63"/>
      <c r="D726" s="63"/>
      <c r="E726" s="63"/>
      <c r="F726" s="63"/>
      <c r="G726" s="63"/>
      <c r="H726" s="63"/>
      <c r="I726" s="63"/>
      <c r="J726" s="63"/>
      <c r="K726" s="63"/>
      <c r="L726" s="66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5.75" customHeight="1">
      <c r="A727" s="63"/>
      <c r="B727" s="66"/>
      <c r="C727" s="63"/>
      <c r="D727" s="63"/>
      <c r="E727" s="63"/>
      <c r="F727" s="63"/>
      <c r="G727" s="63"/>
      <c r="H727" s="63"/>
      <c r="I727" s="63"/>
      <c r="J727" s="63"/>
      <c r="K727" s="63"/>
      <c r="L727" s="66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5.75" customHeight="1">
      <c r="A728" s="63"/>
      <c r="B728" s="66"/>
      <c r="C728" s="63"/>
      <c r="D728" s="63"/>
      <c r="E728" s="63"/>
      <c r="F728" s="63"/>
      <c r="G728" s="63"/>
      <c r="H728" s="63"/>
      <c r="I728" s="63"/>
      <c r="J728" s="63"/>
      <c r="K728" s="63"/>
      <c r="L728" s="66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5.75" customHeight="1">
      <c r="A729" s="63"/>
      <c r="B729" s="66"/>
      <c r="C729" s="63"/>
      <c r="D729" s="63"/>
      <c r="E729" s="63"/>
      <c r="F729" s="63"/>
      <c r="G729" s="63"/>
      <c r="H729" s="63"/>
      <c r="I729" s="63"/>
      <c r="J729" s="63"/>
      <c r="K729" s="63"/>
      <c r="L729" s="66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5.75" customHeight="1">
      <c r="A730" s="63"/>
      <c r="B730" s="66"/>
      <c r="C730" s="63"/>
      <c r="D730" s="63"/>
      <c r="E730" s="63"/>
      <c r="F730" s="63"/>
      <c r="G730" s="63"/>
      <c r="H730" s="63"/>
      <c r="I730" s="63"/>
      <c r="J730" s="63"/>
      <c r="K730" s="63"/>
      <c r="L730" s="66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5.75" customHeight="1">
      <c r="A731" s="63"/>
      <c r="B731" s="66"/>
      <c r="C731" s="63"/>
      <c r="D731" s="63"/>
      <c r="E731" s="63"/>
      <c r="F731" s="63"/>
      <c r="G731" s="63"/>
      <c r="H731" s="63"/>
      <c r="I731" s="63"/>
      <c r="J731" s="63"/>
      <c r="K731" s="63"/>
      <c r="L731" s="66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5.75" customHeight="1">
      <c r="A732" s="63"/>
      <c r="B732" s="66"/>
      <c r="C732" s="63"/>
      <c r="D732" s="63"/>
      <c r="E732" s="63"/>
      <c r="F732" s="63"/>
      <c r="G732" s="63"/>
      <c r="H732" s="63"/>
      <c r="I732" s="63"/>
      <c r="J732" s="63"/>
      <c r="K732" s="63"/>
      <c r="L732" s="66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5.75" customHeight="1">
      <c r="A733" s="63"/>
      <c r="B733" s="66"/>
      <c r="C733" s="63"/>
      <c r="D733" s="63"/>
      <c r="E733" s="63"/>
      <c r="F733" s="63"/>
      <c r="G733" s="63"/>
      <c r="H733" s="63"/>
      <c r="I733" s="63"/>
      <c r="J733" s="63"/>
      <c r="K733" s="63"/>
      <c r="L733" s="66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5.75" customHeight="1">
      <c r="A734" s="63"/>
      <c r="B734" s="66"/>
      <c r="C734" s="63"/>
      <c r="D734" s="63"/>
      <c r="E734" s="63"/>
      <c r="F734" s="63"/>
      <c r="G734" s="63"/>
      <c r="H734" s="63"/>
      <c r="I734" s="63"/>
      <c r="J734" s="63"/>
      <c r="K734" s="63"/>
      <c r="L734" s="66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5.75" customHeight="1">
      <c r="A735" s="63"/>
      <c r="B735" s="66"/>
      <c r="C735" s="63"/>
      <c r="D735" s="63"/>
      <c r="E735" s="63"/>
      <c r="F735" s="63"/>
      <c r="G735" s="63"/>
      <c r="H735" s="63"/>
      <c r="I735" s="63"/>
      <c r="J735" s="63"/>
      <c r="K735" s="63"/>
      <c r="L735" s="66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5.75" customHeight="1">
      <c r="A736" s="63"/>
      <c r="B736" s="66"/>
      <c r="C736" s="63"/>
      <c r="D736" s="63"/>
      <c r="E736" s="63"/>
      <c r="F736" s="63"/>
      <c r="G736" s="63"/>
      <c r="H736" s="63"/>
      <c r="I736" s="63"/>
      <c r="J736" s="63"/>
      <c r="K736" s="63"/>
      <c r="L736" s="66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5.75" customHeight="1">
      <c r="A737" s="63"/>
      <c r="B737" s="66"/>
      <c r="C737" s="63"/>
      <c r="D737" s="63"/>
      <c r="E737" s="63"/>
      <c r="F737" s="63"/>
      <c r="G737" s="63"/>
      <c r="H737" s="63"/>
      <c r="I737" s="63"/>
      <c r="J737" s="63"/>
      <c r="K737" s="63"/>
      <c r="L737" s="66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5.75" customHeight="1">
      <c r="A738" s="63"/>
      <c r="B738" s="66"/>
      <c r="C738" s="63"/>
      <c r="D738" s="63"/>
      <c r="E738" s="63"/>
      <c r="F738" s="63"/>
      <c r="G738" s="63"/>
      <c r="H738" s="63"/>
      <c r="I738" s="63"/>
      <c r="J738" s="63"/>
      <c r="K738" s="63"/>
      <c r="L738" s="66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5.75" customHeight="1">
      <c r="A739" s="63"/>
      <c r="B739" s="66"/>
      <c r="C739" s="63"/>
      <c r="D739" s="63"/>
      <c r="E739" s="63"/>
      <c r="F739" s="63"/>
      <c r="G739" s="63"/>
      <c r="H739" s="63"/>
      <c r="I739" s="63"/>
      <c r="J739" s="63"/>
      <c r="K739" s="63"/>
      <c r="L739" s="66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5.75" customHeight="1">
      <c r="A740" s="63"/>
      <c r="B740" s="66"/>
      <c r="C740" s="63"/>
      <c r="D740" s="63"/>
      <c r="E740" s="63"/>
      <c r="F740" s="63"/>
      <c r="G740" s="63"/>
      <c r="H740" s="63"/>
      <c r="I740" s="63"/>
      <c r="J740" s="63"/>
      <c r="K740" s="63"/>
      <c r="L740" s="66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5.75" customHeight="1">
      <c r="A741" s="63"/>
      <c r="B741" s="66"/>
      <c r="C741" s="63"/>
      <c r="D741" s="63"/>
      <c r="E741" s="63"/>
      <c r="F741" s="63"/>
      <c r="G741" s="63"/>
      <c r="H741" s="63"/>
      <c r="I741" s="63"/>
      <c r="J741" s="63"/>
      <c r="K741" s="63"/>
      <c r="L741" s="66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5.75" customHeight="1">
      <c r="A742" s="63"/>
      <c r="B742" s="66"/>
      <c r="C742" s="63"/>
      <c r="D742" s="63"/>
      <c r="E742" s="63"/>
      <c r="F742" s="63"/>
      <c r="G742" s="63"/>
      <c r="H742" s="63"/>
      <c r="I742" s="63"/>
      <c r="J742" s="63"/>
      <c r="K742" s="63"/>
      <c r="L742" s="66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5.75" customHeight="1">
      <c r="A743" s="63"/>
      <c r="B743" s="66"/>
      <c r="C743" s="63"/>
      <c r="D743" s="63"/>
      <c r="E743" s="63"/>
      <c r="F743" s="63"/>
      <c r="G743" s="63"/>
      <c r="H743" s="63"/>
      <c r="I743" s="63"/>
      <c r="J743" s="63"/>
      <c r="K743" s="63"/>
      <c r="L743" s="66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5.75" customHeight="1">
      <c r="A744" s="63"/>
      <c r="B744" s="66"/>
      <c r="C744" s="63"/>
      <c r="D744" s="63"/>
      <c r="E744" s="63"/>
      <c r="F744" s="63"/>
      <c r="G744" s="63"/>
      <c r="H744" s="63"/>
      <c r="I744" s="63"/>
      <c r="J744" s="63"/>
      <c r="K744" s="63"/>
      <c r="L744" s="66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5.75" customHeight="1">
      <c r="A745" s="63"/>
      <c r="B745" s="66"/>
      <c r="C745" s="63"/>
      <c r="D745" s="63"/>
      <c r="E745" s="63"/>
      <c r="F745" s="63"/>
      <c r="G745" s="63"/>
      <c r="H745" s="63"/>
      <c r="I745" s="63"/>
      <c r="J745" s="63"/>
      <c r="K745" s="63"/>
      <c r="L745" s="66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5.75" customHeight="1">
      <c r="A746" s="63"/>
      <c r="B746" s="66"/>
      <c r="C746" s="63"/>
      <c r="D746" s="63"/>
      <c r="E746" s="63"/>
      <c r="F746" s="63"/>
      <c r="G746" s="63"/>
      <c r="H746" s="63"/>
      <c r="I746" s="63"/>
      <c r="J746" s="63"/>
      <c r="K746" s="63"/>
      <c r="L746" s="66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5.75" customHeight="1">
      <c r="A747" s="63"/>
      <c r="B747" s="66"/>
      <c r="C747" s="63"/>
      <c r="D747" s="63"/>
      <c r="E747" s="63"/>
      <c r="F747" s="63"/>
      <c r="G747" s="63"/>
      <c r="H747" s="63"/>
      <c r="I747" s="63"/>
      <c r="J747" s="63"/>
      <c r="K747" s="63"/>
      <c r="L747" s="66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5.75" customHeight="1">
      <c r="A748" s="63"/>
      <c r="B748" s="66"/>
      <c r="C748" s="63"/>
      <c r="D748" s="63"/>
      <c r="E748" s="63"/>
      <c r="F748" s="63"/>
      <c r="G748" s="63"/>
      <c r="H748" s="63"/>
      <c r="I748" s="63"/>
      <c r="J748" s="63"/>
      <c r="K748" s="63"/>
      <c r="L748" s="66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5.75" customHeight="1">
      <c r="A749" s="63"/>
      <c r="B749" s="66"/>
      <c r="C749" s="63"/>
      <c r="D749" s="63"/>
      <c r="E749" s="63"/>
      <c r="F749" s="63"/>
      <c r="G749" s="63"/>
      <c r="H749" s="63"/>
      <c r="I749" s="63"/>
      <c r="J749" s="63"/>
      <c r="K749" s="63"/>
      <c r="L749" s="66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5.75" customHeight="1">
      <c r="A750" s="63"/>
      <c r="B750" s="66"/>
      <c r="C750" s="63"/>
      <c r="D750" s="63"/>
      <c r="E750" s="63"/>
      <c r="F750" s="63"/>
      <c r="G750" s="63"/>
      <c r="H750" s="63"/>
      <c r="I750" s="63"/>
      <c r="J750" s="63"/>
      <c r="K750" s="63"/>
      <c r="L750" s="66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5.75" customHeight="1">
      <c r="A751" s="63"/>
      <c r="B751" s="66"/>
      <c r="C751" s="63"/>
      <c r="D751" s="63"/>
      <c r="E751" s="63"/>
      <c r="F751" s="63"/>
      <c r="G751" s="63"/>
      <c r="H751" s="63"/>
      <c r="I751" s="63"/>
      <c r="J751" s="63"/>
      <c r="K751" s="63"/>
      <c r="L751" s="66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5.75" customHeight="1">
      <c r="A752" s="63"/>
      <c r="B752" s="66"/>
      <c r="C752" s="63"/>
      <c r="D752" s="63"/>
      <c r="E752" s="63"/>
      <c r="F752" s="63"/>
      <c r="G752" s="63"/>
      <c r="H752" s="63"/>
      <c r="I752" s="63"/>
      <c r="J752" s="63"/>
      <c r="K752" s="63"/>
      <c r="L752" s="66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5.75" customHeight="1">
      <c r="A753" s="63"/>
      <c r="B753" s="66"/>
      <c r="C753" s="63"/>
      <c r="D753" s="63"/>
      <c r="E753" s="63"/>
      <c r="F753" s="63"/>
      <c r="G753" s="63"/>
      <c r="H753" s="63"/>
      <c r="I753" s="63"/>
      <c r="J753" s="63"/>
      <c r="K753" s="63"/>
      <c r="L753" s="66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5.75" customHeight="1">
      <c r="A754" s="63"/>
      <c r="B754" s="66"/>
      <c r="C754" s="63"/>
      <c r="D754" s="63"/>
      <c r="E754" s="63"/>
      <c r="F754" s="63"/>
      <c r="G754" s="63"/>
      <c r="H754" s="63"/>
      <c r="I754" s="63"/>
      <c r="J754" s="63"/>
      <c r="K754" s="63"/>
      <c r="L754" s="66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5.75" customHeight="1">
      <c r="A755" s="63"/>
      <c r="B755" s="66"/>
      <c r="C755" s="63"/>
      <c r="D755" s="63"/>
      <c r="E755" s="63"/>
      <c r="F755" s="63"/>
      <c r="G755" s="63"/>
      <c r="H755" s="63"/>
      <c r="I755" s="63"/>
      <c r="J755" s="63"/>
      <c r="K755" s="63"/>
      <c r="L755" s="66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5.75" customHeight="1">
      <c r="A756" s="63"/>
      <c r="B756" s="66"/>
      <c r="C756" s="63"/>
      <c r="D756" s="63"/>
      <c r="E756" s="63"/>
      <c r="F756" s="63"/>
      <c r="G756" s="63"/>
      <c r="H756" s="63"/>
      <c r="I756" s="63"/>
      <c r="J756" s="63"/>
      <c r="K756" s="63"/>
      <c r="L756" s="66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5.75" customHeight="1">
      <c r="A757" s="63"/>
      <c r="B757" s="66"/>
      <c r="C757" s="63"/>
      <c r="D757" s="63"/>
      <c r="E757" s="63"/>
      <c r="F757" s="63"/>
      <c r="G757" s="63"/>
      <c r="H757" s="63"/>
      <c r="I757" s="63"/>
      <c r="J757" s="63"/>
      <c r="K757" s="63"/>
      <c r="L757" s="66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5.75" customHeight="1">
      <c r="A758" s="63"/>
      <c r="B758" s="66"/>
      <c r="C758" s="63"/>
      <c r="D758" s="63"/>
      <c r="E758" s="63"/>
      <c r="F758" s="63"/>
      <c r="G758" s="63"/>
      <c r="H758" s="63"/>
      <c r="I758" s="63"/>
      <c r="J758" s="63"/>
      <c r="K758" s="63"/>
      <c r="L758" s="66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5.75" customHeight="1">
      <c r="A759" s="63"/>
      <c r="B759" s="66"/>
      <c r="C759" s="63"/>
      <c r="D759" s="63"/>
      <c r="E759" s="63"/>
      <c r="F759" s="63"/>
      <c r="G759" s="63"/>
      <c r="H759" s="63"/>
      <c r="I759" s="63"/>
      <c r="J759" s="63"/>
      <c r="K759" s="63"/>
      <c r="L759" s="66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5.75" customHeight="1">
      <c r="A760" s="63"/>
      <c r="B760" s="66"/>
      <c r="C760" s="63"/>
      <c r="D760" s="63"/>
      <c r="E760" s="63"/>
      <c r="F760" s="63"/>
      <c r="G760" s="63"/>
      <c r="H760" s="63"/>
      <c r="I760" s="63"/>
      <c r="J760" s="63"/>
      <c r="K760" s="63"/>
      <c r="L760" s="66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5.75" customHeight="1">
      <c r="A761" s="63"/>
      <c r="B761" s="66"/>
      <c r="C761" s="63"/>
      <c r="D761" s="63"/>
      <c r="E761" s="63"/>
      <c r="F761" s="63"/>
      <c r="G761" s="63"/>
      <c r="H761" s="63"/>
      <c r="I761" s="63"/>
      <c r="J761" s="63"/>
      <c r="K761" s="63"/>
      <c r="L761" s="66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5.75" customHeight="1">
      <c r="A762" s="63"/>
      <c r="B762" s="66"/>
      <c r="C762" s="63"/>
      <c r="D762" s="63"/>
      <c r="E762" s="63"/>
      <c r="F762" s="63"/>
      <c r="G762" s="63"/>
      <c r="H762" s="63"/>
      <c r="I762" s="63"/>
      <c r="J762" s="63"/>
      <c r="K762" s="63"/>
      <c r="L762" s="66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5.75" customHeight="1">
      <c r="A763" s="63"/>
      <c r="B763" s="66"/>
      <c r="C763" s="63"/>
      <c r="D763" s="63"/>
      <c r="E763" s="63"/>
      <c r="F763" s="63"/>
      <c r="G763" s="63"/>
      <c r="H763" s="63"/>
      <c r="I763" s="63"/>
      <c r="J763" s="63"/>
      <c r="K763" s="63"/>
      <c r="L763" s="66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5.75" customHeight="1">
      <c r="A764" s="63"/>
      <c r="B764" s="66"/>
      <c r="C764" s="63"/>
      <c r="D764" s="63"/>
      <c r="E764" s="63"/>
      <c r="F764" s="63"/>
      <c r="G764" s="63"/>
      <c r="H764" s="63"/>
      <c r="I764" s="63"/>
      <c r="J764" s="63"/>
      <c r="K764" s="63"/>
      <c r="L764" s="66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5.75" customHeight="1">
      <c r="A765" s="63"/>
      <c r="B765" s="66"/>
      <c r="C765" s="63"/>
      <c r="D765" s="63"/>
      <c r="E765" s="63"/>
      <c r="F765" s="63"/>
      <c r="G765" s="63"/>
      <c r="H765" s="63"/>
      <c r="I765" s="63"/>
      <c r="J765" s="63"/>
      <c r="K765" s="63"/>
      <c r="L765" s="66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5.75" customHeight="1">
      <c r="A766" s="63"/>
      <c r="B766" s="66"/>
      <c r="C766" s="63"/>
      <c r="D766" s="63"/>
      <c r="E766" s="63"/>
      <c r="F766" s="63"/>
      <c r="G766" s="63"/>
      <c r="H766" s="63"/>
      <c r="I766" s="63"/>
      <c r="J766" s="63"/>
      <c r="K766" s="63"/>
      <c r="L766" s="66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5.75" customHeight="1">
      <c r="A767" s="63"/>
      <c r="B767" s="66"/>
      <c r="C767" s="63"/>
      <c r="D767" s="63"/>
      <c r="E767" s="63"/>
      <c r="F767" s="63"/>
      <c r="G767" s="63"/>
      <c r="H767" s="63"/>
      <c r="I767" s="63"/>
      <c r="J767" s="63"/>
      <c r="K767" s="63"/>
      <c r="L767" s="66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5.75" customHeight="1">
      <c r="A768" s="63"/>
      <c r="B768" s="66"/>
      <c r="C768" s="63"/>
      <c r="D768" s="63"/>
      <c r="E768" s="63"/>
      <c r="F768" s="63"/>
      <c r="G768" s="63"/>
      <c r="H768" s="63"/>
      <c r="I768" s="63"/>
      <c r="J768" s="63"/>
      <c r="K768" s="63"/>
      <c r="L768" s="66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5.75" customHeight="1">
      <c r="A769" s="63"/>
      <c r="B769" s="66"/>
      <c r="C769" s="63"/>
      <c r="D769" s="63"/>
      <c r="E769" s="63"/>
      <c r="F769" s="63"/>
      <c r="G769" s="63"/>
      <c r="H769" s="63"/>
      <c r="I769" s="63"/>
      <c r="J769" s="63"/>
      <c r="K769" s="63"/>
      <c r="L769" s="66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5.75" customHeight="1">
      <c r="A770" s="63"/>
      <c r="B770" s="66"/>
      <c r="C770" s="63"/>
      <c r="D770" s="63"/>
      <c r="E770" s="63"/>
      <c r="F770" s="63"/>
      <c r="G770" s="63"/>
      <c r="H770" s="63"/>
      <c r="I770" s="63"/>
      <c r="J770" s="63"/>
      <c r="K770" s="63"/>
      <c r="L770" s="66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5.75" customHeight="1">
      <c r="A771" s="63"/>
      <c r="B771" s="66"/>
      <c r="C771" s="63"/>
      <c r="D771" s="63"/>
      <c r="E771" s="63"/>
      <c r="F771" s="63"/>
      <c r="G771" s="63"/>
      <c r="H771" s="63"/>
      <c r="I771" s="63"/>
      <c r="J771" s="63"/>
      <c r="K771" s="63"/>
      <c r="L771" s="66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5.75" customHeight="1">
      <c r="A772" s="63"/>
      <c r="B772" s="66"/>
      <c r="C772" s="63"/>
      <c r="D772" s="63"/>
      <c r="E772" s="63"/>
      <c r="F772" s="63"/>
      <c r="G772" s="63"/>
      <c r="H772" s="63"/>
      <c r="I772" s="63"/>
      <c r="J772" s="63"/>
      <c r="K772" s="63"/>
      <c r="L772" s="66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5.75" customHeight="1">
      <c r="A773" s="63"/>
      <c r="B773" s="66"/>
      <c r="C773" s="63"/>
      <c r="D773" s="63"/>
      <c r="E773" s="63"/>
      <c r="F773" s="63"/>
      <c r="G773" s="63"/>
      <c r="H773" s="63"/>
      <c r="I773" s="63"/>
      <c r="J773" s="63"/>
      <c r="K773" s="63"/>
      <c r="L773" s="66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5.75" customHeight="1">
      <c r="A774" s="63"/>
      <c r="B774" s="66"/>
      <c r="C774" s="63"/>
      <c r="D774" s="63"/>
      <c r="E774" s="63"/>
      <c r="F774" s="63"/>
      <c r="G774" s="63"/>
      <c r="H774" s="63"/>
      <c r="I774" s="63"/>
      <c r="J774" s="63"/>
      <c r="K774" s="63"/>
      <c r="L774" s="66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5.75" customHeight="1">
      <c r="A775" s="63"/>
      <c r="B775" s="66"/>
      <c r="C775" s="63"/>
      <c r="D775" s="63"/>
      <c r="E775" s="63"/>
      <c r="F775" s="63"/>
      <c r="G775" s="63"/>
      <c r="H775" s="63"/>
      <c r="I775" s="63"/>
      <c r="J775" s="63"/>
      <c r="K775" s="63"/>
      <c r="L775" s="66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5.75" customHeight="1">
      <c r="A776" s="63"/>
      <c r="B776" s="66"/>
      <c r="C776" s="63"/>
      <c r="D776" s="63"/>
      <c r="E776" s="63"/>
      <c r="F776" s="63"/>
      <c r="G776" s="63"/>
      <c r="H776" s="63"/>
      <c r="I776" s="63"/>
      <c r="J776" s="63"/>
      <c r="K776" s="63"/>
      <c r="L776" s="66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5.75" customHeight="1">
      <c r="A777" s="63"/>
      <c r="B777" s="66"/>
      <c r="C777" s="63"/>
      <c r="D777" s="63"/>
      <c r="E777" s="63"/>
      <c r="F777" s="63"/>
      <c r="G777" s="63"/>
      <c r="H777" s="63"/>
      <c r="I777" s="63"/>
      <c r="J777" s="63"/>
      <c r="K777" s="63"/>
      <c r="L777" s="66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5.75" customHeight="1">
      <c r="A778" s="63"/>
      <c r="B778" s="66"/>
      <c r="C778" s="63"/>
      <c r="D778" s="63"/>
      <c r="E778" s="63"/>
      <c r="F778" s="63"/>
      <c r="G778" s="63"/>
      <c r="H778" s="63"/>
      <c r="I778" s="63"/>
      <c r="J778" s="63"/>
      <c r="K778" s="63"/>
      <c r="L778" s="66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5.75" customHeight="1">
      <c r="A779" s="63"/>
      <c r="B779" s="66"/>
      <c r="C779" s="63"/>
      <c r="D779" s="63"/>
      <c r="E779" s="63"/>
      <c r="F779" s="63"/>
      <c r="G779" s="63"/>
      <c r="H779" s="63"/>
      <c r="I779" s="63"/>
      <c r="J779" s="63"/>
      <c r="K779" s="63"/>
      <c r="L779" s="66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5.75" customHeight="1">
      <c r="A780" s="63"/>
      <c r="B780" s="66"/>
      <c r="C780" s="63"/>
      <c r="D780" s="63"/>
      <c r="E780" s="63"/>
      <c r="F780" s="63"/>
      <c r="G780" s="63"/>
      <c r="H780" s="63"/>
      <c r="I780" s="63"/>
      <c r="J780" s="63"/>
      <c r="K780" s="63"/>
      <c r="L780" s="66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5.75" customHeight="1">
      <c r="A781" s="63"/>
      <c r="B781" s="66"/>
      <c r="C781" s="63"/>
      <c r="D781" s="63"/>
      <c r="E781" s="63"/>
      <c r="F781" s="63"/>
      <c r="G781" s="63"/>
      <c r="H781" s="63"/>
      <c r="I781" s="63"/>
      <c r="J781" s="63"/>
      <c r="K781" s="63"/>
      <c r="L781" s="66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5.75" customHeight="1">
      <c r="A782" s="63"/>
      <c r="B782" s="66"/>
      <c r="C782" s="63"/>
      <c r="D782" s="63"/>
      <c r="E782" s="63"/>
      <c r="F782" s="63"/>
      <c r="G782" s="63"/>
      <c r="H782" s="63"/>
      <c r="I782" s="63"/>
      <c r="J782" s="63"/>
      <c r="K782" s="63"/>
      <c r="L782" s="66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5.75" customHeight="1">
      <c r="A783" s="63"/>
      <c r="B783" s="66"/>
      <c r="C783" s="63"/>
      <c r="D783" s="63"/>
      <c r="E783" s="63"/>
      <c r="F783" s="63"/>
      <c r="G783" s="63"/>
      <c r="H783" s="63"/>
      <c r="I783" s="63"/>
      <c r="J783" s="63"/>
      <c r="K783" s="63"/>
      <c r="L783" s="66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5.75" customHeight="1">
      <c r="A784" s="63"/>
      <c r="B784" s="66"/>
      <c r="C784" s="63"/>
      <c r="D784" s="63"/>
      <c r="E784" s="63"/>
      <c r="F784" s="63"/>
      <c r="G784" s="63"/>
      <c r="H784" s="63"/>
      <c r="I784" s="63"/>
      <c r="J784" s="63"/>
      <c r="K784" s="63"/>
      <c r="L784" s="66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5.75" customHeight="1">
      <c r="A785" s="63"/>
      <c r="B785" s="66"/>
      <c r="C785" s="63"/>
      <c r="D785" s="63"/>
      <c r="E785" s="63"/>
      <c r="F785" s="63"/>
      <c r="G785" s="63"/>
      <c r="H785" s="63"/>
      <c r="I785" s="63"/>
      <c r="J785" s="63"/>
      <c r="K785" s="63"/>
      <c r="L785" s="66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5.75" customHeight="1">
      <c r="A786" s="63"/>
      <c r="B786" s="66"/>
      <c r="C786" s="63"/>
      <c r="D786" s="63"/>
      <c r="E786" s="63"/>
      <c r="F786" s="63"/>
      <c r="G786" s="63"/>
      <c r="H786" s="63"/>
      <c r="I786" s="63"/>
      <c r="J786" s="63"/>
      <c r="K786" s="63"/>
      <c r="L786" s="66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5.75" customHeight="1">
      <c r="A787" s="63"/>
      <c r="B787" s="66"/>
      <c r="C787" s="63"/>
      <c r="D787" s="63"/>
      <c r="E787" s="63"/>
      <c r="F787" s="63"/>
      <c r="G787" s="63"/>
      <c r="H787" s="63"/>
      <c r="I787" s="63"/>
      <c r="J787" s="63"/>
      <c r="K787" s="63"/>
      <c r="L787" s="66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5.75" customHeight="1">
      <c r="A788" s="63"/>
      <c r="B788" s="66"/>
      <c r="C788" s="63"/>
      <c r="D788" s="63"/>
      <c r="E788" s="63"/>
      <c r="F788" s="63"/>
      <c r="G788" s="63"/>
      <c r="H788" s="63"/>
      <c r="I788" s="63"/>
      <c r="J788" s="63"/>
      <c r="K788" s="63"/>
      <c r="L788" s="66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5.75" customHeight="1">
      <c r="A789" s="63"/>
      <c r="B789" s="66"/>
      <c r="C789" s="63"/>
      <c r="D789" s="63"/>
      <c r="E789" s="63"/>
      <c r="F789" s="63"/>
      <c r="G789" s="63"/>
      <c r="H789" s="63"/>
      <c r="I789" s="63"/>
      <c r="J789" s="63"/>
      <c r="K789" s="63"/>
      <c r="L789" s="66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5.75" customHeight="1">
      <c r="A790" s="63"/>
      <c r="B790" s="66"/>
      <c r="C790" s="63"/>
      <c r="D790" s="63"/>
      <c r="E790" s="63"/>
      <c r="F790" s="63"/>
      <c r="G790" s="63"/>
      <c r="H790" s="63"/>
      <c r="I790" s="63"/>
      <c r="J790" s="63"/>
      <c r="K790" s="63"/>
      <c r="L790" s="66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5.75" customHeight="1">
      <c r="A791" s="63"/>
      <c r="B791" s="66"/>
      <c r="C791" s="63"/>
      <c r="D791" s="63"/>
      <c r="E791" s="63"/>
      <c r="F791" s="63"/>
      <c r="G791" s="63"/>
      <c r="H791" s="63"/>
      <c r="I791" s="63"/>
      <c r="J791" s="63"/>
      <c r="K791" s="63"/>
      <c r="L791" s="66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5.75" customHeight="1">
      <c r="A792" s="63"/>
      <c r="B792" s="66"/>
      <c r="C792" s="63"/>
      <c r="D792" s="63"/>
      <c r="E792" s="63"/>
      <c r="F792" s="63"/>
      <c r="G792" s="63"/>
      <c r="H792" s="63"/>
      <c r="I792" s="63"/>
      <c r="J792" s="63"/>
      <c r="K792" s="63"/>
      <c r="L792" s="66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5.75" customHeight="1">
      <c r="A793" s="63"/>
      <c r="B793" s="66"/>
      <c r="C793" s="63"/>
      <c r="D793" s="63"/>
      <c r="E793" s="63"/>
      <c r="F793" s="63"/>
      <c r="G793" s="63"/>
      <c r="H793" s="63"/>
      <c r="I793" s="63"/>
      <c r="J793" s="63"/>
      <c r="K793" s="63"/>
      <c r="L793" s="66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5.75" customHeight="1">
      <c r="A794" s="63"/>
      <c r="B794" s="66"/>
      <c r="C794" s="63"/>
      <c r="D794" s="63"/>
      <c r="E794" s="63"/>
      <c r="F794" s="63"/>
      <c r="G794" s="63"/>
      <c r="H794" s="63"/>
      <c r="I794" s="63"/>
      <c r="J794" s="63"/>
      <c r="K794" s="63"/>
      <c r="L794" s="66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5.75" customHeight="1">
      <c r="A795" s="63"/>
      <c r="B795" s="66"/>
      <c r="C795" s="63"/>
      <c r="D795" s="63"/>
      <c r="E795" s="63"/>
      <c r="F795" s="63"/>
      <c r="G795" s="63"/>
      <c r="H795" s="63"/>
      <c r="I795" s="63"/>
      <c r="J795" s="63"/>
      <c r="K795" s="63"/>
      <c r="L795" s="66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5.75" customHeight="1">
      <c r="A796" s="63"/>
      <c r="B796" s="66"/>
      <c r="C796" s="63"/>
      <c r="D796" s="63"/>
      <c r="E796" s="63"/>
      <c r="F796" s="63"/>
      <c r="G796" s="63"/>
      <c r="H796" s="63"/>
      <c r="I796" s="63"/>
      <c r="J796" s="63"/>
      <c r="K796" s="63"/>
      <c r="L796" s="66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5.75" customHeight="1">
      <c r="A797" s="63"/>
      <c r="B797" s="66"/>
      <c r="C797" s="63"/>
      <c r="D797" s="63"/>
      <c r="E797" s="63"/>
      <c r="F797" s="63"/>
      <c r="G797" s="63"/>
      <c r="H797" s="63"/>
      <c r="I797" s="63"/>
      <c r="J797" s="63"/>
      <c r="K797" s="63"/>
      <c r="L797" s="66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5.75" customHeight="1">
      <c r="A798" s="63"/>
      <c r="B798" s="66"/>
      <c r="C798" s="63"/>
      <c r="D798" s="63"/>
      <c r="E798" s="63"/>
      <c r="F798" s="63"/>
      <c r="G798" s="63"/>
      <c r="H798" s="63"/>
      <c r="I798" s="63"/>
      <c r="J798" s="63"/>
      <c r="K798" s="63"/>
      <c r="L798" s="66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5.75" customHeight="1">
      <c r="A799" s="63"/>
      <c r="B799" s="66"/>
      <c r="C799" s="63"/>
      <c r="D799" s="63"/>
      <c r="E799" s="63"/>
      <c r="F799" s="63"/>
      <c r="G799" s="63"/>
      <c r="H799" s="63"/>
      <c r="I799" s="63"/>
      <c r="J799" s="63"/>
      <c r="K799" s="63"/>
      <c r="L799" s="66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5.75" customHeight="1">
      <c r="A800" s="63"/>
      <c r="B800" s="66"/>
      <c r="C800" s="63"/>
      <c r="D800" s="63"/>
      <c r="E800" s="63"/>
      <c r="F800" s="63"/>
      <c r="G800" s="63"/>
      <c r="H800" s="63"/>
      <c r="I800" s="63"/>
      <c r="J800" s="63"/>
      <c r="K800" s="63"/>
      <c r="L800" s="66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5.75" customHeight="1">
      <c r="A801" s="63"/>
      <c r="B801" s="66"/>
      <c r="C801" s="63"/>
      <c r="D801" s="63"/>
      <c r="E801" s="63"/>
      <c r="F801" s="63"/>
      <c r="G801" s="63"/>
      <c r="H801" s="63"/>
      <c r="I801" s="63"/>
      <c r="J801" s="63"/>
      <c r="K801" s="63"/>
      <c r="L801" s="66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5.75" customHeight="1">
      <c r="A802" s="63"/>
      <c r="B802" s="66"/>
      <c r="C802" s="63"/>
      <c r="D802" s="63"/>
      <c r="E802" s="63"/>
      <c r="F802" s="63"/>
      <c r="G802" s="63"/>
      <c r="H802" s="63"/>
      <c r="I802" s="63"/>
      <c r="J802" s="63"/>
      <c r="K802" s="63"/>
      <c r="L802" s="66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5.75" customHeight="1">
      <c r="A803" s="63"/>
      <c r="B803" s="66"/>
      <c r="C803" s="63"/>
      <c r="D803" s="63"/>
      <c r="E803" s="63"/>
      <c r="F803" s="63"/>
      <c r="G803" s="63"/>
      <c r="H803" s="63"/>
      <c r="I803" s="63"/>
      <c r="J803" s="63"/>
      <c r="K803" s="63"/>
      <c r="L803" s="66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5.75" customHeight="1">
      <c r="A804" s="63"/>
      <c r="B804" s="66"/>
      <c r="C804" s="63"/>
      <c r="D804" s="63"/>
      <c r="E804" s="63"/>
      <c r="F804" s="63"/>
      <c r="G804" s="63"/>
      <c r="H804" s="63"/>
      <c r="I804" s="63"/>
      <c r="J804" s="63"/>
      <c r="K804" s="63"/>
      <c r="L804" s="66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5.75" customHeight="1">
      <c r="A805" s="63"/>
      <c r="B805" s="66"/>
      <c r="C805" s="63"/>
      <c r="D805" s="63"/>
      <c r="E805" s="63"/>
      <c r="F805" s="63"/>
      <c r="G805" s="63"/>
      <c r="H805" s="63"/>
      <c r="I805" s="63"/>
      <c r="J805" s="63"/>
      <c r="K805" s="63"/>
      <c r="L805" s="66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5.75" customHeight="1">
      <c r="A806" s="63"/>
      <c r="B806" s="66"/>
      <c r="C806" s="63"/>
      <c r="D806" s="63"/>
      <c r="E806" s="63"/>
      <c r="F806" s="63"/>
      <c r="G806" s="63"/>
      <c r="H806" s="63"/>
      <c r="I806" s="63"/>
      <c r="J806" s="63"/>
      <c r="K806" s="63"/>
      <c r="L806" s="66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5.75" customHeight="1">
      <c r="A807" s="63"/>
      <c r="B807" s="66"/>
      <c r="C807" s="63"/>
      <c r="D807" s="63"/>
      <c r="E807" s="63"/>
      <c r="F807" s="63"/>
      <c r="G807" s="63"/>
      <c r="H807" s="63"/>
      <c r="I807" s="63"/>
      <c r="J807" s="63"/>
      <c r="K807" s="63"/>
      <c r="L807" s="66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5.75" customHeight="1">
      <c r="A808" s="63"/>
      <c r="B808" s="66"/>
      <c r="C808" s="63"/>
      <c r="D808" s="63"/>
      <c r="E808" s="63"/>
      <c r="F808" s="63"/>
      <c r="G808" s="63"/>
      <c r="H808" s="63"/>
      <c r="I808" s="63"/>
      <c r="J808" s="63"/>
      <c r="K808" s="63"/>
      <c r="L808" s="66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5.75" customHeight="1">
      <c r="A809" s="63"/>
      <c r="B809" s="66"/>
      <c r="C809" s="63"/>
      <c r="D809" s="63"/>
      <c r="E809" s="63"/>
      <c r="F809" s="63"/>
      <c r="G809" s="63"/>
      <c r="H809" s="63"/>
      <c r="I809" s="63"/>
      <c r="J809" s="63"/>
      <c r="K809" s="63"/>
      <c r="L809" s="66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5.75" customHeight="1">
      <c r="A810" s="63"/>
      <c r="B810" s="66"/>
      <c r="C810" s="63"/>
      <c r="D810" s="63"/>
      <c r="E810" s="63"/>
      <c r="F810" s="63"/>
      <c r="G810" s="63"/>
      <c r="H810" s="63"/>
      <c r="I810" s="63"/>
      <c r="J810" s="63"/>
      <c r="K810" s="63"/>
      <c r="L810" s="66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5.75" customHeight="1">
      <c r="A811" s="63"/>
      <c r="B811" s="66"/>
      <c r="C811" s="63"/>
      <c r="D811" s="63"/>
      <c r="E811" s="63"/>
      <c r="F811" s="63"/>
      <c r="G811" s="63"/>
      <c r="H811" s="63"/>
      <c r="I811" s="63"/>
      <c r="J811" s="63"/>
      <c r="K811" s="63"/>
      <c r="L811" s="66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5.75" customHeight="1">
      <c r="A812" s="63"/>
      <c r="B812" s="66"/>
      <c r="C812" s="63"/>
      <c r="D812" s="63"/>
      <c r="E812" s="63"/>
      <c r="F812" s="63"/>
      <c r="G812" s="63"/>
      <c r="H812" s="63"/>
      <c r="I812" s="63"/>
      <c r="J812" s="63"/>
      <c r="K812" s="63"/>
      <c r="L812" s="66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5.75" customHeight="1">
      <c r="A813" s="63"/>
      <c r="B813" s="66"/>
      <c r="C813" s="63"/>
      <c r="D813" s="63"/>
      <c r="E813" s="63"/>
      <c r="F813" s="63"/>
      <c r="G813" s="63"/>
      <c r="H813" s="63"/>
      <c r="I813" s="63"/>
      <c r="J813" s="63"/>
      <c r="K813" s="63"/>
      <c r="L813" s="66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5.75" customHeight="1">
      <c r="A814" s="63"/>
      <c r="B814" s="66"/>
      <c r="C814" s="63"/>
      <c r="D814" s="63"/>
      <c r="E814" s="63"/>
      <c r="F814" s="63"/>
      <c r="G814" s="63"/>
      <c r="H814" s="63"/>
      <c r="I814" s="63"/>
      <c r="J814" s="63"/>
      <c r="K814" s="63"/>
      <c r="L814" s="66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5.75" customHeight="1">
      <c r="A815" s="63"/>
      <c r="B815" s="66"/>
      <c r="C815" s="63"/>
      <c r="D815" s="63"/>
      <c r="E815" s="63"/>
      <c r="F815" s="63"/>
      <c r="G815" s="63"/>
      <c r="H815" s="63"/>
      <c r="I815" s="63"/>
      <c r="J815" s="63"/>
      <c r="K815" s="63"/>
      <c r="L815" s="66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5.75" customHeight="1">
      <c r="A816" s="63"/>
      <c r="B816" s="66"/>
      <c r="C816" s="63"/>
      <c r="D816" s="63"/>
      <c r="E816" s="63"/>
      <c r="F816" s="63"/>
      <c r="G816" s="63"/>
      <c r="H816" s="63"/>
      <c r="I816" s="63"/>
      <c r="J816" s="63"/>
      <c r="K816" s="63"/>
      <c r="L816" s="66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5.75" customHeight="1">
      <c r="A817" s="63"/>
      <c r="B817" s="66"/>
      <c r="C817" s="63"/>
      <c r="D817" s="63"/>
      <c r="E817" s="63"/>
      <c r="F817" s="63"/>
      <c r="G817" s="63"/>
      <c r="H817" s="63"/>
      <c r="I817" s="63"/>
      <c r="J817" s="63"/>
      <c r="K817" s="63"/>
      <c r="L817" s="66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5.75" customHeight="1">
      <c r="A818" s="63"/>
      <c r="B818" s="66"/>
      <c r="C818" s="63"/>
      <c r="D818" s="63"/>
      <c r="E818" s="63"/>
      <c r="F818" s="63"/>
      <c r="G818" s="63"/>
      <c r="H818" s="63"/>
      <c r="I818" s="63"/>
      <c r="J818" s="63"/>
      <c r="K818" s="63"/>
      <c r="L818" s="66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5.75" customHeight="1">
      <c r="A819" s="63"/>
      <c r="B819" s="66"/>
      <c r="C819" s="63"/>
      <c r="D819" s="63"/>
      <c r="E819" s="63"/>
      <c r="F819" s="63"/>
      <c r="G819" s="63"/>
      <c r="H819" s="63"/>
      <c r="I819" s="63"/>
      <c r="J819" s="63"/>
      <c r="K819" s="63"/>
      <c r="L819" s="66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5.75" customHeight="1">
      <c r="A820" s="63"/>
      <c r="B820" s="66"/>
      <c r="C820" s="63"/>
      <c r="D820" s="63"/>
      <c r="E820" s="63"/>
      <c r="F820" s="63"/>
      <c r="G820" s="63"/>
      <c r="H820" s="63"/>
      <c r="I820" s="63"/>
      <c r="J820" s="63"/>
      <c r="K820" s="63"/>
      <c r="L820" s="66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5.75" customHeight="1">
      <c r="A821" s="63"/>
      <c r="B821" s="66"/>
      <c r="C821" s="63"/>
      <c r="D821" s="63"/>
      <c r="E821" s="63"/>
      <c r="F821" s="63"/>
      <c r="G821" s="63"/>
      <c r="H821" s="63"/>
      <c r="I821" s="63"/>
      <c r="J821" s="63"/>
      <c r="K821" s="63"/>
      <c r="L821" s="66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5.75" customHeight="1">
      <c r="A822" s="63"/>
      <c r="B822" s="66"/>
      <c r="C822" s="63"/>
      <c r="D822" s="63"/>
      <c r="E822" s="63"/>
      <c r="F822" s="63"/>
      <c r="G822" s="63"/>
      <c r="H822" s="63"/>
      <c r="I822" s="63"/>
      <c r="J822" s="63"/>
      <c r="K822" s="63"/>
      <c r="L822" s="66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5.75" customHeight="1">
      <c r="A823" s="63"/>
      <c r="B823" s="66"/>
      <c r="C823" s="63"/>
      <c r="D823" s="63"/>
      <c r="E823" s="63"/>
      <c r="F823" s="63"/>
      <c r="G823" s="63"/>
      <c r="H823" s="63"/>
      <c r="I823" s="63"/>
      <c r="J823" s="63"/>
      <c r="K823" s="63"/>
      <c r="L823" s="66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5.75" customHeight="1">
      <c r="A824" s="63"/>
      <c r="B824" s="66"/>
      <c r="C824" s="63"/>
      <c r="D824" s="63"/>
      <c r="E824" s="63"/>
      <c r="F824" s="63"/>
      <c r="G824" s="63"/>
      <c r="H824" s="63"/>
      <c r="I824" s="63"/>
      <c r="J824" s="63"/>
      <c r="K824" s="63"/>
      <c r="L824" s="66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5.75" customHeight="1">
      <c r="A825" s="63"/>
      <c r="B825" s="66"/>
      <c r="C825" s="63"/>
      <c r="D825" s="63"/>
      <c r="E825" s="63"/>
      <c r="F825" s="63"/>
      <c r="G825" s="63"/>
      <c r="H825" s="63"/>
      <c r="I825" s="63"/>
      <c r="J825" s="63"/>
      <c r="K825" s="63"/>
      <c r="L825" s="66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5.75" customHeight="1">
      <c r="A826" s="63"/>
      <c r="B826" s="66"/>
      <c r="C826" s="63"/>
      <c r="D826" s="63"/>
      <c r="E826" s="63"/>
      <c r="F826" s="63"/>
      <c r="G826" s="63"/>
      <c r="H826" s="63"/>
      <c r="I826" s="63"/>
      <c r="J826" s="63"/>
      <c r="K826" s="63"/>
      <c r="L826" s="66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5.75" customHeight="1">
      <c r="A827" s="63"/>
      <c r="B827" s="66"/>
      <c r="C827" s="63"/>
      <c r="D827" s="63"/>
      <c r="E827" s="63"/>
      <c r="F827" s="63"/>
      <c r="G827" s="63"/>
      <c r="H827" s="63"/>
      <c r="I827" s="63"/>
      <c r="J827" s="63"/>
      <c r="K827" s="63"/>
      <c r="L827" s="66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5.75" customHeight="1">
      <c r="A828" s="63"/>
      <c r="B828" s="66"/>
      <c r="C828" s="63"/>
      <c r="D828" s="63"/>
      <c r="E828" s="63"/>
      <c r="F828" s="63"/>
      <c r="G828" s="63"/>
      <c r="H828" s="63"/>
      <c r="I828" s="63"/>
      <c r="J828" s="63"/>
      <c r="K828" s="63"/>
      <c r="L828" s="66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5.75" customHeight="1">
      <c r="A829" s="63"/>
      <c r="B829" s="66"/>
      <c r="C829" s="63"/>
      <c r="D829" s="63"/>
      <c r="E829" s="63"/>
      <c r="F829" s="63"/>
      <c r="G829" s="63"/>
      <c r="H829" s="63"/>
      <c r="I829" s="63"/>
      <c r="J829" s="63"/>
      <c r="K829" s="63"/>
      <c r="L829" s="66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5.75" customHeight="1">
      <c r="A830" s="63"/>
      <c r="B830" s="66"/>
      <c r="C830" s="63"/>
      <c r="D830" s="63"/>
      <c r="E830" s="63"/>
      <c r="F830" s="63"/>
      <c r="G830" s="63"/>
      <c r="H830" s="63"/>
      <c r="I830" s="63"/>
      <c r="J830" s="63"/>
      <c r="K830" s="63"/>
      <c r="L830" s="66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5.75" customHeight="1">
      <c r="A831" s="63"/>
      <c r="B831" s="66"/>
      <c r="C831" s="63"/>
      <c r="D831" s="63"/>
      <c r="E831" s="63"/>
      <c r="F831" s="63"/>
      <c r="G831" s="63"/>
      <c r="H831" s="63"/>
      <c r="I831" s="63"/>
      <c r="J831" s="63"/>
      <c r="K831" s="63"/>
      <c r="L831" s="66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5.75" customHeight="1">
      <c r="A832" s="63"/>
      <c r="B832" s="66"/>
      <c r="C832" s="63"/>
      <c r="D832" s="63"/>
      <c r="E832" s="63"/>
      <c r="F832" s="63"/>
      <c r="G832" s="63"/>
      <c r="H832" s="63"/>
      <c r="I832" s="63"/>
      <c r="J832" s="63"/>
      <c r="K832" s="63"/>
      <c r="L832" s="66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5.75" customHeight="1">
      <c r="A833" s="63"/>
      <c r="B833" s="66"/>
      <c r="C833" s="63"/>
      <c r="D833" s="63"/>
      <c r="E833" s="63"/>
      <c r="F833" s="63"/>
      <c r="G833" s="63"/>
      <c r="H833" s="63"/>
      <c r="I833" s="63"/>
      <c r="J833" s="63"/>
      <c r="K833" s="63"/>
      <c r="L833" s="66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5.75" customHeight="1">
      <c r="A834" s="63"/>
      <c r="B834" s="66"/>
      <c r="C834" s="63"/>
      <c r="D834" s="63"/>
      <c r="E834" s="63"/>
      <c r="F834" s="63"/>
      <c r="G834" s="63"/>
      <c r="H834" s="63"/>
      <c r="I834" s="63"/>
      <c r="J834" s="63"/>
      <c r="K834" s="63"/>
      <c r="L834" s="66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5.75" customHeight="1">
      <c r="A835" s="63"/>
      <c r="B835" s="66"/>
      <c r="C835" s="63"/>
      <c r="D835" s="63"/>
      <c r="E835" s="63"/>
      <c r="F835" s="63"/>
      <c r="G835" s="63"/>
      <c r="H835" s="63"/>
      <c r="I835" s="63"/>
      <c r="J835" s="63"/>
      <c r="K835" s="63"/>
      <c r="L835" s="66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5.75" customHeight="1">
      <c r="A836" s="63"/>
      <c r="B836" s="66"/>
      <c r="C836" s="63"/>
      <c r="D836" s="63"/>
      <c r="E836" s="63"/>
      <c r="F836" s="63"/>
      <c r="G836" s="63"/>
      <c r="H836" s="63"/>
      <c r="I836" s="63"/>
      <c r="J836" s="63"/>
      <c r="K836" s="63"/>
      <c r="L836" s="66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5.75" customHeight="1">
      <c r="A837" s="63"/>
      <c r="B837" s="66"/>
      <c r="C837" s="63"/>
      <c r="D837" s="63"/>
      <c r="E837" s="63"/>
      <c r="F837" s="63"/>
      <c r="G837" s="63"/>
      <c r="H837" s="63"/>
      <c r="I837" s="63"/>
      <c r="J837" s="63"/>
      <c r="K837" s="63"/>
      <c r="L837" s="66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5.75" customHeight="1">
      <c r="A838" s="63"/>
      <c r="B838" s="66"/>
      <c r="C838" s="63"/>
      <c r="D838" s="63"/>
      <c r="E838" s="63"/>
      <c r="F838" s="63"/>
      <c r="G838" s="63"/>
      <c r="H838" s="63"/>
      <c r="I838" s="63"/>
      <c r="J838" s="63"/>
      <c r="K838" s="63"/>
      <c r="L838" s="66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5.75" customHeight="1">
      <c r="A839" s="63"/>
      <c r="B839" s="66"/>
      <c r="C839" s="63"/>
      <c r="D839" s="63"/>
      <c r="E839" s="63"/>
      <c r="F839" s="63"/>
      <c r="G839" s="63"/>
      <c r="H839" s="63"/>
      <c r="I839" s="63"/>
      <c r="J839" s="63"/>
      <c r="K839" s="63"/>
      <c r="L839" s="66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5.75" customHeight="1">
      <c r="A840" s="63"/>
      <c r="B840" s="66"/>
      <c r="C840" s="63"/>
      <c r="D840" s="63"/>
      <c r="E840" s="63"/>
      <c r="F840" s="63"/>
      <c r="G840" s="63"/>
      <c r="H840" s="63"/>
      <c r="I840" s="63"/>
      <c r="J840" s="63"/>
      <c r="K840" s="63"/>
      <c r="L840" s="66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5.75" customHeight="1">
      <c r="A841" s="63"/>
      <c r="B841" s="66"/>
      <c r="C841" s="63"/>
      <c r="D841" s="63"/>
      <c r="E841" s="63"/>
      <c r="F841" s="63"/>
      <c r="G841" s="63"/>
      <c r="H841" s="63"/>
      <c r="I841" s="63"/>
      <c r="J841" s="63"/>
      <c r="K841" s="63"/>
      <c r="L841" s="66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5.75" customHeight="1">
      <c r="A842" s="63"/>
      <c r="B842" s="66"/>
      <c r="C842" s="63"/>
      <c r="D842" s="63"/>
      <c r="E842" s="63"/>
      <c r="F842" s="63"/>
      <c r="G842" s="63"/>
      <c r="H842" s="63"/>
      <c r="I842" s="63"/>
      <c r="J842" s="63"/>
      <c r="K842" s="63"/>
      <c r="L842" s="66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5.75" customHeight="1">
      <c r="A843" s="63"/>
      <c r="B843" s="66"/>
      <c r="C843" s="63"/>
      <c r="D843" s="63"/>
      <c r="E843" s="63"/>
      <c r="F843" s="63"/>
      <c r="G843" s="63"/>
      <c r="H843" s="63"/>
      <c r="I843" s="63"/>
      <c r="J843" s="63"/>
      <c r="K843" s="63"/>
      <c r="L843" s="66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5.75" customHeight="1">
      <c r="A844" s="63"/>
      <c r="B844" s="66"/>
      <c r="C844" s="63"/>
      <c r="D844" s="63"/>
      <c r="E844" s="63"/>
      <c r="F844" s="63"/>
      <c r="G844" s="63"/>
      <c r="H844" s="63"/>
      <c r="I844" s="63"/>
      <c r="J844" s="63"/>
      <c r="K844" s="63"/>
      <c r="L844" s="66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5.75" customHeight="1">
      <c r="A845" s="63"/>
      <c r="B845" s="66"/>
      <c r="C845" s="63"/>
      <c r="D845" s="63"/>
      <c r="E845" s="63"/>
      <c r="F845" s="63"/>
      <c r="G845" s="63"/>
      <c r="H845" s="63"/>
      <c r="I845" s="63"/>
      <c r="J845" s="63"/>
      <c r="K845" s="63"/>
      <c r="L845" s="66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5.75" customHeight="1">
      <c r="A846" s="63"/>
      <c r="B846" s="66"/>
      <c r="C846" s="63"/>
      <c r="D846" s="63"/>
      <c r="E846" s="63"/>
      <c r="F846" s="63"/>
      <c r="G846" s="63"/>
      <c r="H846" s="63"/>
      <c r="I846" s="63"/>
      <c r="J846" s="63"/>
      <c r="K846" s="63"/>
      <c r="L846" s="66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5.75" customHeight="1">
      <c r="A847" s="63"/>
      <c r="B847" s="66"/>
      <c r="C847" s="63"/>
      <c r="D847" s="63"/>
      <c r="E847" s="63"/>
      <c r="F847" s="63"/>
      <c r="G847" s="63"/>
      <c r="H847" s="63"/>
      <c r="I847" s="63"/>
      <c r="J847" s="63"/>
      <c r="K847" s="63"/>
      <c r="L847" s="66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5.75" customHeight="1">
      <c r="A848" s="63"/>
      <c r="B848" s="66"/>
      <c r="C848" s="63"/>
      <c r="D848" s="63"/>
      <c r="E848" s="63"/>
      <c r="F848" s="63"/>
      <c r="G848" s="63"/>
      <c r="H848" s="63"/>
      <c r="I848" s="63"/>
      <c r="J848" s="63"/>
      <c r="K848" s="63"/>
      <c r="L848" s="66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5.75" customHeight="1">
      <c r="A849" s="63"/>
      <c r="B849" s="66"/>
      <c r="C849" s="63"/>
      <c r="D849" s="63"/>
      <c r="E849" s="63"/>
      <c r="F849" s="63"/>
      <c r="G849" s="63"/>
      <c r="H849" s="63"/>
      <c r="I849" s="63"/>
      <c r="J849" s="63"/>
      <c r="K849" s="63"/>
      <c r="L849" s="66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5.75" customHeight="1">
      <c r="A850" s="63"/>
      <c r="B850" s="66"/>
      <c r="C850" s="63"/>
      <c r="D850" s="63"/>
      <c r="E850" s="63"/>
      <c r="F850" s="63"/>
      <c r="G850" s="63"/>
      <c r="H850" s="63"/>
      <c r="I850" s="63"/>
      <c r="J850" s="63"/>
      <c r="K850" s="63"/>
      <c r="L850" s="66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5.75" customHeight="1">
      <c r="A851" s="63"/>
      <c r="B851" s="66"/>
      <c r="C851" s="63"/>
      <c r="D851" s="63"/>
      <c r="E851" s="63"/>
      <c r="F851" s="63"/>
      <c r="G851" s="63"/>
      <c r="H851" s="63"/>
      <c r="I851" s="63"/>
      <c r="J851" s="63"/>
      <c r="K851" s="63"/>
      <c r="L851" s="66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5.75" customHeight="1">
      <c r="A852" s="63"/>
      <c r="B852" s="66"/>
      <c r="C852" s="63"/>
      <c r="D852" s="63"/>
      <c r="E852" s="63"/>
      <c r="F852" s="63"/>
      <c r="G852" s="63"/>
      <c r="H852" s="63"/>
      <c r="I852" s="63"/>
      <c r="J852" s="63"/>
      <c r="K852" s="63"/>
      <c r="L852" s="66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5.75" customHeight="1">
      <c r="A853" s="63"/>
      <c r="B853" s="66"/>
      <c r="C853" s="63"/>
      <c r="D853" s="63"/>
      <c r="E853" s="63"/>
      <c r="F853" s="63"/>
      <c r="G853" s="63"/>
      <c r="H853" s="63"/>
      <c r="I853" s="63"/>
      <c r="J853" s="63"/>
      <c r="K853" s="63"/>
      <c r="L853" s="66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5.75" customHeight="1">
      <c r="A854" s="63"/>
      <c r="B854" s="66"/>
      <c r="C854" s="63"/>
      <c r="D854" s="63"/>
      <c r="E854" s="63"/>
      <c r="F854" s="63"/>
      <c r="G854" s="63"/>
      <c r="H854" s="63"/>
      <c r="I854" s="63"/>
      <c r="J854" s="63"/>
      <c r="K854" s="63"/>
      <c r="L854" s="66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5.75" customHeight="1">
      <c r="A855" s="63"/>
      <c r="B855" s="66"/>
      <c r="C855" s="63"/>
      <c r="D855" s="63"/>
      <c r="E855" s="63"/>
      <c r="F855" s="63"/>
      <c r="G855" s="63"/>
      <c r="H855" s="63"/>
      <c r="I855" s="63"/>
      <c r="J855" s="63"/>
      <c r="K855" s="63"/>
      <c r="L855" s="66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5.75" customHeight="1">
      <c r="A856" s="63"/>
      <c r="B856" s="66"/>
      <c r="C856" s="63"/>
      <c r="D856" s="63"/>
      <c r="E856" s="63"/>
      <c r="F856" s="63"/>
      <c r="G856" s="63"/>
      <c r="H856" s="63"/>
      <c r="I856" s="63"/>
      <c r="J856" s="63"/>
      <c r="K856" s="63"/>
      <c r="L856" s="66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5.75" customHeight="1">
      <c r="A857" s="63"/>
      <c r="B857" s="66"/>
      <c r="C857" s="63"/>
      <c r="D857" s="63"/>
      <c r="E857" s="63"/>
      <c r="F857" s="63"/>
      <c r="G857" s="63"/>
      <c r="H857" s="63"/>
      <c r="I857" s="63"/>
      <c r="J857" s="63"/>
      <c r="K857" s="63"/>
      <c r="L857" s="66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5.75" customHeight="1">
      <c r="A858" s="63"/>
      <c r="B858" s="66"/>
      <c r="C858" s="63"/>
      <c r="D858" s="63"/>
      <c r="E858" s="63"/>
      <c r="F858" s="63"/>
      <c r="G858" s="63"/>
      <c r="H858" s="63"/>
      <c r="I858" s="63"/>
      <c r="J858" s="63"/>
      <c r="K858" s="63"/>
      <c r="L858" s="66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5.75" customHeight="1">
      <c r="A859" s="63"/>
      <c r="B859" s="66"/>
      <c r="C859" s="63"/>
      <c r="D859" s="63"/>
      <c r="E859" s="63"/>
      <c r="F859" s="63"/>
      <c r="G859" s="63"/>
      <c r="H859" s="63"/>
      <c r="I859" s="63"/>
      <c r="J859" s="63"/>
      <c r="K859" s="63"/>
      <c r="L859" s="66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5.75" customHeight="1">
      <c r="A860" s="63"/>
      <c r="B860" s="66"/>
      <c r="C860" s="63"/>
      <c r="D860" s="63"/>
      <c r="E860" s="63"/>
      <c r="F860" s="63"/>
      <c r="G860" s="63"/>
      <c r="H860" s="63"/>
      <c r="I860" s="63"/>
      <c r="J860" s="63"/>
      <c r="K860" s="63"/>
      <c r="L860" s="66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5.75" customHeight="1">
      <c r="A861" s="63"/>
      <c r="B861" s="66"/>
      <c r="C861" s="63"/>
      <c r="D861" s="63"/>
      <c r="E861" s="63"/>
      <c r="F861" s="63"/>
      <c r="G861" s="63"/>
      <c r="H861" s="63"/>
      <c r="I861" s="63"/>
      <c r="J861" s="63"/>
      <c r="K861" s="63"/>
      <c r="L861" s="66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5.75" customHeight="1">
      <c r="A862" s="63"/>
      <c r="B862" s="66"/>
      <c r="C862" s="63"/>
      <c r="D862" s="63"/>
      <c r="E862" s="63"/>
      <c r="F862" s="63"/>
      <c r="G862" s="63"/>
      <c r="H862" s="63"/>
      <c r="I862" s="63"/>
      <c r="J862" s="63"/>
      <c r="K862" s="63"/>
      <c r="L862" s="66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5.75" customHeight="1">
      <c r="A863" s="63"/>
      <c r="B863" s="66"/>
      <c r="C863" s="63"/>
      <c r="D863" s="63"/>
      <c r="E863" s="63"/>
      <c r="F863" s="63"/>
      <c r="G863" s="63"/>
      <c r="H863" s="63"/>
      <c r="I863" s="63"/>
      <c r="J863" s="63"/>
      <c r="K863" s="63"/>
      <c r="L863" s="66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5.75" customHeight="1">
      <c r="A864" s="63"/>
      <c r="B864" s="66"/>
      <c r="C864" s="63"/>
      <c r="D864" s="63"/>
      <c r="E864" s="63"/>
      <c r="F864" s="63"/>
      <c r="G864" s="63"/>
      <c r="H864" s="63"/>
      <c r="I864" s="63"/>
      <c r="J864" s="63"/>
      <c r="K864" s="63"/>
      <c r="L864" s="66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5.75" customHeight="1">
      <c r="A865" s="63"/>
      <c r="B865" s="66"/>
      <c r="C865" s="63"/>
      <c r="D865" s="63"/>
      <c r="E865" s="63"/>
      <c r="F865" s="63"/>
      <c r="G865" s="63"/>
      <c r="H865" s="63"/>
      <c r="I865" s="63"/>
      <c r="J865" s="63"/>
      <c r="K865" s="63"/>
      <c r="L865" s="66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5.75" customHeight="1">
      <c r="A866" s="63"/>
      <c r="B866" s="66"/>
      <c r="C866" s="63"/>
      <c r="D866" s="63"/>
      <c r="E866" s="63"/>
      <c r="F866" s="63"/>
      <c r="G866" s="63"/>
      <c r="H866" s="63"/>
      <c r="I866" s="63"/>
      <c r="J866" s="63"/>
      <c r="K866" s="63"/>
      <c r="L866" s="66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5.75" customHeight="1">
      <c r="A867" s="63"/>
      <c r="B867" s="66"/>
      <c r="C867" s="63"/>
      <c r="D867" s="63"/>
      <c r="E867" s="63"/>
      <c r="F867" s="63"/>
      <c r="G867" s="63"/>
      <c r="H867" s="63"/>
      <c r="I867" s="63"/>
      <c r="J867" s="63"/>
      <c r="K867" s="63"/>
      <c r="L867" s="66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5.75" customHeight="1">
      <c r="A868" s="63"/>
      <c r="B868" s="66"/>
      <c r="C868" s="63"/>
      <c r="D868" s="63"/>
      <c r="E868" s="63"/>
      <c r="F868" s="63"/>
      <c r="G868" s="63"/>
      <c r="H868" s="63"/>
      <c r="I868" s="63"/>
      <c r="J868" s="63"/>
      <c r="K868" s="63"/>
      <c r="L868" s="66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5.75" customHeight="1">
      <c r="A869" s="63"/>
      <c r="B869" s="66"/>
      <c r="C869" s="63"/>
      <c r="D869" s="63"/>
      <c r="E869" s="63"/>
      <c r="F869" s="63"/>
      <c r="G869" s="63"/>
      <c r="H869" s="63"/>
      <c r="I869" s="63"/>
      <c r="J869" s="63"/>
      <c r="K869" s="63"/>
      <c r="L869" s="66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5.75" customHeight="1">
      <c r="A870" s="63"/>
      <c r="B870" s="66"/>
      <c r="C870" s="63"/>
      <c r="D870" s="63"/>
      <c r="E870" s="63"/>
      <c r="F870" s="63"/>
      <c r="G870" s="63"/>
      <c r="H870" s="63"/>
      <c r="I870" s="63"/>
      <c r="J870" s="63"/>
      <c r="K870" s="63"/>
      <c r="L870" s="66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5.75" customHeight="1">
      <c r="A871" s="63"/>
      <c r="B871" s="66"/>
      <c r="C871" s="63"/>
      <c r="D871" s="63"/>
      <c r="E871" s="63"/>
      <c r="F871" s="63"/>
      <c r="G871" s="63"/>
      <c r="H871" s="63"/>
      <c r="I871" s="63"/>
      <c r="J871" s="63"/>
      <c r="K871" s="63"/>
      <c r="L871" s="66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5.75" customHeight="1">
      <c r="A872" s="63"/>
      <c r="B872" s="66"/>
      <c r="C872" s="63"/>
      <c r="D872" s="63"/>
      <c r="E872" s="63"/>
      <c r="F872" s="63"/>
      <c r="G872" s="63"/>
      <c r="H872" s="63"/>
      <c r="I872" s="63"/>
      <c r="J872" s="63"/>
      <c r="K872" s="63"/>
      <c r="L872" s="66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5.75" customHeight="1">
      <c r="A873" s="63"/>
      <c r="B873" s="66"/>
      <c r="C873" s="63"/>
      <c r="D873" s="63"/>
      <c r="E873" s="63"/>
      <c r="F873" s="63"/>
      <c r="G873" s="63"/>
      <c r="H873" s="63"/>
      <c r="I873" s="63"/>
      <c r="J873" s="63"/>
      <c r="K873" s="63"/>
      <c r="L873" s="66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5.75" customHeight="1">
      <c r="A874" s="63"/>
      <c r="B874" s="66"/>
      <c r="C874" s="63"/>
      <c r="D874" s="63"/>
      <c r="E874" s="63"/>
      <c r="F874" s="63"/>
      <c r="G874" s="63"/>
      <c r="H874" s="63"/>
      <c r="I874" s="63"/>
      <c r="J874" s="63"/>
      <c r="K874" s="63"/>
      <c r="L874" s="66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5.75" customHeight="1">
      <c r="A875" s="63"/>
      <c r="B875" s="66"/>
      <c r="C875" s="63"/>
      <c r="D875" s="63"/>
      <c r="E875" s="63"/>
      <c r="F875" s="63"/>
      <c r="G875" s="63"/>
      <c r="H875" s="63"/>
      <c r="I875" s="63"/>
      <c r="J875" s="63"/>
      <c r="K875" s="63"/>
      <c r="L875" s="66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5.75" customHeight="1">
      <c r="A876" s="63"/>
      <c r="B876" s="66"/>
      <c r="C876" s="63"/>
      <c r="D876" s="63"/>
      <c r="E876" s="63"/>
      <c r="F876" s="63"/>
      <c r="G876" s="63"/>
      <c r="H876" s="63"/>
      <c r="I876" s="63"/>
      <c r="J876" s="63"/>
      <c r="K876" s="63"/>
      <c r="L876" s="66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5.75" customHeight="1">
      <c r="A877" s="63"/>
      <c r="B877" s="66"/>
      <c r="C877" s="63"/>
      <c r="D877" s="63"/>
      <c r="E877" s="63"/>
      <c r="F877" s="63"/>
      <c r="G877" s="63"/>
      <c r="H877" s="63"/>
      <c r="I877" s="63"/>
      <c r="J877" s="63"/>
      <c r="K877" s="63"/>
      <c r="L877" s="66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5.75" customHeight="1">
      <c r="A878" s="63"/>
      <c r="B878" s="66"/>
      <c r="C878" s="63"/>
      <c r="D878" s="63"/>
      <c r="E878" s="63"/>
      <c r="F878" s="63"/>
      <c r="G878" s="63"/>
      <c r="H878" s="63"/>
      <c r="I878" s="63"/>
      <c r="J878" s="63"/>
      <c r="K878" s="63"/>
      <c r="L878" s="66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5.75" customHeight="1">
      <c r="A879" s="63"/>
      <c r="B879" s="66"/>
      <c r="C879" s="63"/>
      <c r="D879" s="63"/>
      <c r="E879" s="63"/>
      <c r="F879" s="63"/>
      <c r="G879" s="63"/>
      <c r="H879" s="63"/>
      <c r="I879" s="63"/>
      <c r="J879" s="63"/>
      <c r="K879" s="63"/>
      <c r="L879" s="66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5.75" customHeight="1">
      <c r="A880" s="63"/>
      <c r="B880" s="66"/>
      <c r="C880" s="63"/>
      <c r="D880" s="63"/>
      <c r="E880" s="63"/>
      <c r="F880" s="63"/>
      <c r="G880" s="63"/>
      <c r="H880" s="63"/>
      <c r="I880" s="63"/>
      <c r="J880" s="63"/>
      <c r="K880" s="63"/>
      <c r="L880" s="66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5.75" customHeight="1">
      <c r="A881" s="63"/>
      <c r="B881" s="66"/>
      <c r="C881" s="63"/>
      <c r="D881" s="63"/>
      <c r="E881" s="63"/>
      <c r="F881" s="63"/>
      <c r="G881" s="63"/>
      <c r="H881" s="63"/>
      <c r="I881" s="63"/>
      <c r="J881" s="63"/>
      <c r="K881" s="63"/>
      <c r="L881" s="66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5.75" customHeight="1">
      <c r="A882" s="63"/>
      <c r="B882" s="66"/>
      <c r="C882" s="63"/>
      <c r="D882" s="63"/>
      <c r="E882" s="63"/>
      <c r="F882" s="63"/>
      <c r="G882" s="63"/>
      <c r="H882" s="63"/>
      <c r="I882" s="63"/>
      <c r="J882" s="63"/>
      <c r="K882" s="63"/>
      <c r="L882" s="66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5.75" customHeight="1">
      <c r="A883" s="63"/>
      <c r="B883" s="66"/>
      <c r="C883" s="63"/>
      <c r="D883" s="63"/>
      <c r="E883" s="63"/>
      <c r="F883" s="63"/>
      <c r="G883" s="63"/>
      <c r="H883" s="63"/>
      <c r="I883" s="63"/>
      <c r="J883" s="63"/>
      <c r="K883" s="63"/>
      <c r="L883" s="66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5.75" customHeight="1">
      <c r="A884" s="63"/>
      <c r="B884" s="66"/>
      <c r="C884" s="63"/>
      <c r="D884" s="63"/>
      <c r="E884" s="63"/>
      <c r="F884" s="63"/>
      <c r="G884" s="63"/>
      <c r="H884" s="63"/>
      <c r="I884" s="63"/>
      <c r="J884" s="63"/>
      <c r="K884" s="63"/>
      <c r="L884" s="66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5.75" customHeight="1">
      <c r="A885" s="63"/>
      <c r="B885" s="66"/>
      <c r="C885" s="63"/>
      <c r="D885" s="63"/>
      <c r="E885" s="63"/>
      <c r="F885" s="63"/>
      <c r="G885" s="63"/>
      <c r="H885" s="63"/>
      <c r="I885" s="63"/>
      <c r="J885" s="63"/>
      <c r="K885" s="63"/>
      <c r="L885" s="66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5.75" customHeight="1">
      <c r="A886" s="63"/>
      <c r="B886" s="66"/>
      <c r="C886" s="63"/>
      <c r="D886" s="63"/>
      <c r="E886" s="63"/>
      <c r="F886" s="63"/>
      <c r="G886" s="63"/>
      <c r="H886" s="63"/>
      <c r="I886" s="63"/>
      <c r="J886" s="63"/>
      <c r="K886" s="63"/>
      <c r="L886" s="66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5.75" customHeight="1">
      <c r="A887" s="63"/>
      <c r="B887" s="66"/>
      <c r="C887" s="63"/>
      <c r="D887" s="63"/>
      <c r="E887" s="63"/>
      <c r="F887" s="63"/>
      <c r="G887" s="63"/>
      <c r="H887" s="63"/>
      <c r="I887" s="63"/>
      <c r="J887" s="63"/>
      <c r="K887" s="63"/>
      <c r="L887" s="66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5.75" customHeight="1">
      <c r="A888" s="63"/>
      <c r="B888" s="66"/>
      <c r="C888" s="63"/>
      <c r="D888" s="63"/>
      <c r="E888" s="63"/>
      <c r="F888" s="63"/>
      <c r="G888" s="63"/>
      <c r="H888" s="63"/>
      <c r="I888" s="63"/>
      <c r="J888" s="63"/>
      <c r="K888" s="63"/>
      <c r="L888" s="66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5.75" customHeight="1">
      <c r="A889" s="63"/>
      <c r="B889" s="66"/>
      <c r="C889" s="63"/>
      <c r="D889" s="63"/>
      <c r="E889" s="63"/>
      <c r="F889" s="63"/>
      <c r="G889" s="63"/>
      <c r="H889" s="63"/>
      <c r="I889" s="63"/>
      <c r="J889" s="63"/>
      <c r="K889" s="63"/>
      <c r="L889" s="66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5.75" customHeight="1">
      <c r="A890" s="63"/>
      <c r="B890" s="66"/>
      <c r="C890" s="63"/>
      <c r="D890" s="63"/>
      <c r="E890" s="63"/>
      <c r="F890" s="63"/>
      <c r="G890" s="63"/>
      <c r="H890" s="63"/>
      <c r="I890" s="63"/>
      <c r="J890" s="63"/>
      <c r="K890" s="63"/>
      <c r="L890" s="66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5.75" customHeight="1">
      <c r="A891" s="63"/>
      <c r="B891" s="66"/>
      <c r="C891" s="63"/>
      <c r="D891" s="63"/>
      <c r="E891" s="63"/>
      <c r="F891" s="63"/>
      <c r="G891" s="63"/>
      <c r="H891" s="63"/>
      <c r="I891" s="63"/>
      <c r="J891" s="63"/>
      <c r="K891" s="63"/>
      <c r="L891" s="66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5.75" customHeight="1">
      <c r="A892" s="63"/>
      <c r="B892" s="66"/>
      <c r="C892" s="63"/>
      <c r="D892" s="63"/>
      <c r="E892" s="63"/>
      <c r="F892" s="63"/>
      <c r="G892" s="63"/>
      <c r="H892" s="63"/>
      <c r="I892" s="63"/>
      <c r="J892" s="63"/>
      <c r="K892" s="63"/>
      <c r="L892" s="66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5.75" customHeight="1">
      <c r="A893" s="63"/>
      <c r="B893" s="66"/>
      <c r="C893" s="63"/>
      <c r="D893" s="63"/>
      <c r="E893" s="63"/>
      <c r="F893" s="63"/>
      <c r="G893" s="63"/>
      <c r="H893" s="63"/>
      <c r="I893" s="63"/>
      <c r="J893" s="63"/>
      <c r="K893" s="63"/>
      <c r="L893" s="66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5.75" customHeight="1">
      <c r="A894" s="63"/>
      <c r="B894" s="66"/>
      <c r="C894" s="63"/>
      <c r="D894" s="63"/>
      <c r="E894" s="63"/>
      <c r="F894" s="63"/>
      <c r="G894" s="63"/>
      <c r="H894" s="63"/>
      <c r="I894" s="63"/>
      <c r="J894" s="63"/>
      <c r="K894" s="63"/>
      <c r="L894" s="66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5.75" customHeight="1">
      <c r="A895" s="63"/>
      <c r="B895" s="66"/>
      <c r="C895" s="63"/>
      <c r="D895" s="63"/>
      <c r="E895" s="63"/>
      <c r="F895" s="63"/>
      <c r="G895" s="63"/>
      <c r="H895" s="63"/>
      <c r="I895" s="63"/>
      <c r="J895" s="63"/>
      <c r="K895" s="63"/>
      <c r="L895" s="66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5.75" customHeight="1">
      <c r="A896" s="63"/>
      <c r="B896" s="66"/>
      <c r="C896" s="63"/>
      <c r="D896" s="63"/>
      <c r="E896" s="63"/>
      <c r="F896" s="63"/>
      <c r="G896" s="63"/>
      <c r="H896" s="63"/>
      <c r="I896" s="63"/>
      <c r="J896" s="63"/>
      <c r="K896" s="63"/>
      <c r="L896" s="66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5.75" customHeight="1">
      <c r="A897" s="63"/>
      <c r="B897" s="66"/>
      <c r="C897" s="63"/>
      <c r="D897" s="63"/>
      <c r="E897" s="63"/>
      <c r="F897" s="63"/>
      <c r="G897" s="63"/>
      <c r="H897" s="63"/>
      <c r="I897" s="63"/>
      <c r="J897" s="63"/>
      <c r="K897" s="63"/>
      <c r="L897" s="66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5.75" customHeight="1">
      <c r="A898" s="63"/>
      <c r="B898" s="66"/>
      <c r="C898" s="63"/>
      <c r="D898" s="63"/>
      <c r="E898" s="63"/>
      <c r="F898" s="63"/>
      <c r="G898" s="63"/>
      <c r="H898" s="63"/>
      <c r="I898" s="63"/>
      <c r="J898" s="63"/>
      <c r="K898" s="63"/>
      <c r="L898" s="66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5.75" customHeight="1">
      <c r="A899" s="63"/>
      <c r="B899" s="66"/>
      <c r="C899" s="63"/>
      <c r="D899" s="63"/>
      <c r="E899" s="63"/>
      <c r="F899" s="63"/>
      <c r="G899" s="63"/>
      <c r="H899" s="63"/>
      <c r="I899" s="63"/>
      <c r="J899" s="63"/>
      <c r="K899" s="63"/>
      <c r="L899" s="66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5.75" customHeight="1">
      <c r="A900" s="63"/>
      <c r="B900" s="66"/>
      <c r="C900" s="63"/>
      <c r="D900" s="63"/>
      <c r="E900" s="63"/>
      <c r="F900" s="63"/>
      <c r="G900" s="63"/>
      <c r="H900" s="63"/>
      <c r="I900" s="63"/>
      <c r="J900" s="63"/>
      <c r="K900" s="63"/>
      <c r="L900" s="66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5.75" customHeight="1">
      <c r="A901" s="63"/>
      <c r="B901" s="66"/>
      <c r="C901" s="63"/>
      <c r="D901" s="63"/>
      <c r="E901" s="63"/>
      <c r="F901" s="63"/>
      <c r="G901" s="63"/>
      <c r="H901" s="63"/>
      <c r="I901" s="63"/>
      <c r="J901" s="63"/>
      <c r="K901" s="63"/>
      <c r="L901" s="66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5.75" customHeight="1">
      <c r="A902" s="63"/>
      <c r="B902" s="66"/>
      <c r="C902" s="63"/>
      <c r="D902" s="63"/>
      <c r="E902" s="63"/>
      <c r="F902" s="63"/>
      <c r="G902" s="63"/>
      <c r="H902" s="63"/>
      <c r="I902" s="63"/>
      <c r="J902" s="63"/>
      <c r="K902" s="63"/>
      <c r="L902" s="66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5.75" customHeight="1">
      <c r="A903" s="63"/>
      <c r="B903" s="66"/>
      <c r="C903" s="63"/>
      <c r="D903" s="63"/>
      <c r="E903" s="63"/>
      <c r="F903" s="63"/>
      <c r="G903" s="63"/>
      <c r="H903" s="63"/>
      <c r="I903" s="63"/>
      <c r="J903" s="63"/>
      <c r="K903" s="63"/>
      <c r="L903" s="66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5.75" customHeight="1">
      <c r="A904" s="63"/>
      <c r="B904" s="66"/>
      <c r="C904" s="63"/>
      <c r="D904" s="63"/>
      <c r="E904" s="63"/>
      <c r="F904" s="63"/>
      <c r="G904" s="63"/>
      <c r="H904" s="63"/>
      <c r="I904" s="63"/>
      <c r="J904" s="63"/>
      <c r="K904" s="63"/>
      <c r="L904" s="66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5.75" customHeight="1">
      <c r="A905" s="63"/>
      <c r="B905" s="66"/>
      <c r="C905" s="63"/>
      <c r="D905" s="63"/>
      <c r="E905" s="63"/>
      <c r="F905" s="63"/>
      <c r="G905" s="63"/>
      <c r="H905" s="63"/>
      <c r="I905" s="63"/>
      <c r="J905" s="63"/>
      <c r="K905" s="63"/>
      <c r="L905" s="66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5.75" customHeight="1">
      <c r="A906" s="63"/>
      <c r="B906" s="66"/>
      <c r="C906" s="63"/>
      <c r="D906" s="63"/>
      <c r="E906" s="63"/>
      <c r="F906" s="63"/>
      <c r="G906" s="63"/>
      <c r="H906" s="63"/>
      <c r="I906" s="63"/>
      <c r="J906" s="63"/>
      <c r="K906" s="63"/>
      <c r="L906" s="66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5.75" customHeight="1">
      <c r="A907" s="63"/>
      <c r="B907" s="66"/>
      <c r="C907" s="63"/>
      <c r="D907" s="63"/>
      <c r="E907" s="63"/>
      <c r="F907" s="63"/>
      <c r="G907" s="63"/>
      <c r="H907" s="63"/>
      <c r="I907" s="63"/>
      <c r="J907" s="63"/>
      <c r="K907" s="63"/>
      <c r="L907" s="66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5.75" customHeight="1">
      <c r="A908" s="63"/>
      <c r="B908" s="66"/>
      <c r="C908" s="63"/>
      <c r="D908" s="63"/>
      <c r="E908" s="63"/>
      <c r="F908" s="63"/>
      <c r="G908" s="63"/>
      <c r="H908" s="63"/>
      <c r="I908" s="63"/>
      <c r="J908" s="63"/>
      <c r="K908" s="63"/>
      <c r="L908" s="66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5.75" customHeight="1">
      <c r="A909" s="63"/>
      <c r="B909" s="66"/>
      <c r="C909" s="63"/>
      <c r="D909" s="63"/>
      <c r="E909" s="63"/>
      <c r="F909" s="63"/>
      <c r="G909" s="63"/>
      <c r="H909" s="63"/>
      <c r="I909" s="63"/>
      <c r="J909" s="63"/>
      <c r="K909" s="63"/>
      <c r="L909" s="66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5.75" customHeight="1">
      <c r="A910" s="63"/>
      <c r="B910" s="66"/>
      <c r="C910" s="63"/>
      <c r="D910" s="63"/>
      <c r="E910" s="63"/>
      <c r="F910" s="63"/>
      <c r="G910" s="63"/>
      <c r="H910" s="63"/>
      <c r="I910" s="63"/>
      <c r="J910" s="63"/>
      <c r="K910" s="63"/>
      <c r="L910" s="66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5.75" customHeight="1">
      <c r="A911" s="63"/>
      <c r="B911" s="66"/>
      <c r="C911" s="63"/>
      <c r="D911" s="63"/>
      <c r="E911" s="63"/>
      <c r="F911" s="63"/>
      <c r="G911" s="63"/>
      <c r="H911" s="63"/>
      <c r="I911" s="63"/>
      <c r="J911" s="63"/>
      <c r="K911" s="63"/>
      <c r="L911" s="66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5.75" customHeight="1">
      <c r="A912" s="63"/>
      <c r="B912" s="66"/>
      <c r="C912" s="63"/>
      <c r="D912" s="63"/>
      <c r="E912" s="63"/>
      <c r="F912" s="63"/>
      <c r="G912" s="63"/>
      <c r="H912" s="63"/>
      <c r="I912" s="63"/>
      <c r="J912" s="63"/>
      <c r="K912" s="63"/>
      <c r="L912" s="66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5.75" customHeight="1">
      <c r="A913" s="63"/>
      <c r="B913" s="66"/>
      <c r="C913" s="63"/>
      <c r="D913" s="63"/>
      <c r="E913" s="63"/>
      <c r="F913" s="63"/>
      <c r="G913" s="63"/>
      <c r="H913" s="63"/>
      <c r="I913" s="63"/>
      <c r="J913" s="63"/>
      <c r="K913" s="63"/>
      <c r="L913" s="66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5.75" customHeight="1">
      <c r="A914" s="63"/>
      <c r="B914" s="66"/>
      <c r="C914" s="63"/>
      <c r="D914" s="63"/>
      <c r="E914" s="63"/>
      <c r="F914" s="63"/>
      <c r="G914" s="63"/>
      <c r="H914" s="63"/>
      <c r="I914" s="63"/>
      <c r="J914" s="63"/>
      <c r="K914" s="63"/>
      <c r="L914" s="66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5.75" customHeight="1">
      <c r="A915" s="63"/>
      <c r="B915" s="66"/>
      <c r="C915" s="63"/>
      <c r="D915" s="63"/>
      <c r="E915" s="63"/>
      <c r="F915" s="63"/>
      <c r="G915" s="63"/>
      <c r="H915" s="63"/>
      <c r="I915" s="63"/>
      <c r="J915" s="63"/>
      <c r="K915" s="63"/>
      <c r="L915" s="66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5.75" customHeight="1">
      <c r="A916" s="63"/>
      <c r="B916" s="66"/>
      <c r="C916" s="63"/>
      <c r="D916" s="63"/>
      <c r="E916" s="63"/>
      <c r="F916" s="63"/>
      <c r="G916" s="63"/>
      <c r="H916" s="63"/>
      <c r="I916" s="63"/>
      <c r="J916" s="63"/>
      <c r="K916" s="63"/>
      <c r="L916" s="66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5.75" customHeight="1">
      <c r="A917" s="63"/>
      <c r="B917" s="66"/>
      <c r="C917" s="63"/>
      <c r="D917" s="63"/>
      <c r="E917" s="63"/>
      <c r="F917" s="63"/>
      <c r="G917" s="63"/>
      <c r="H917" s="63"/>
      <c r="I917" s="63"/>
      <c r="J917" s="63"/>
      <c r="K917" s="63"/>
      <c r="L917" s="66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5.75" customHeight="1">
      <c r="A918" s="63"/>
      <c r="B918" s="66"/>
      <c r="C918" s="63"/>
      <c r="D918" s="63"/>
      <c r="E918" s="63"/>
      <c r="F918" s="63"/>
      <c r="G918" s="63"/>
      <c r="H918" s="63"/>
      <c r="I918" s="63"/>
      <c r="J918" s="63"/>
      <c r="K918" s="63"/>
      <c r="L918" s="66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5.75" customHeight="1">
      <c r="A919" s="63"/>
      <c r="B919" s="66"/>
      <c r="C919" s="63"/>
      <c r="D919" s="63"/>
      <c r="E919" s="63"/>
      <c r="F919" s="63"/>
      <c r="G919" s="63"/>
      <c r="H919" s="63"/>
      <c r="I919" s="63"/>
      <c r="J919" s="63"/>
      <c r="K919" s="63"/>
      <c r="L919" s="66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5.75" customHeight="1">
      <c r="A920" s="63"/>
      <c r="B920" s="66"/>
      <c r="C920" s="63"/>
      <c r="D920" s="63"/>
      <c r="E920" s="63"/>
      <c r="F920" s="63"/>
      <c r="G920" s="63"/>
      <c r="H920" s="63"/>
      <c r="I920" s="63"/>
      <c r="J920" s="63"/>
      <c r="K920" s="63"/>
      <c r="L920" s="66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5.75" customHeight="1">
      <c r="A921" s="63"/>
      <c r="B921" s="66"/>
      <c r="C921" s="63"/>
      <c r="D921" s="63"/>
      <c r="E921" s="63"/>
      <c r="F921" s="63"/>
      <c r="G921" s="63"/>
      <c r="H921" s="63"/>
      <c r="I921" s="63"/>
      <c r="J921" s="63"/>
      <c r="K921" s="63"/>
      <c r="L921" s="66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5.75" customHeight="1">
      <c r="A922" s="63"/>
      <c r="B922" s="66"/>
      <c r="C922" s="63"/>
      <c r="D922" s="63"/>
      <c r="E922" s="63"/>
      <c r="F922" s="63"/>
      <c r="G922" s="63"/>
      <c r="H922" s="63"/>
      <c r="I922" s="63"/>
      <c r="J922" s="63"/>
      <c r="K922" s="63"/>
      <c r="L922" s="66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5.75" customHeight="1">
      <c r="A923" s="63"/>
      <c r="B923" s="66"/>
      <c r="C923" s="63"/>
      <c r="D923" s="63"/>
      <c r="E923" s="63"/>
      <c r="F923" s="63"/>
      <c r="G923" s="63"/>
      <c r="H923" s="63"/>
      <c r="I923" s="63"/>
      <c r="J923" s="63"/>
      <c r="K923" s="63"/>
      <c r="L923" s="66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5.75" customHeight="1">
      <c r="A924" s="63"/>
      <c r="B924" s="66"/>
      <c r="C924" s="63"/>
      <c r="D924" s="63"/>
      <c r="E924" s="63"/>
      <c r="F924" s="63"/>
      <c r="G924" s="63"/>
      <c r="H924" s="63"/>
      <c r="I924" s="63"/>
      <c r="J924" s="63"/>
      <c r="K924" s="63"/>
      <c r="L924" s="66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5.75" customHeight="1">
      <c r="A925" s="63"/>
      <c r="B925" s="66"/>
      <c r="C925" s="63"/>
      <c r="D925" s="63"/>
      <c r="E925" s="63"/>
      <c r="F925" s="63"/>
      <c r="G925" s="63"/>
      <c r="H925" s="63"/>
      <c r="I925" s="63"/>
      <c r="J925" s="63"/>
      <c r="K925" s="63"/>
      <c r="L925" s="66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5.75" customHeight="1">
      <c r="A926" s="63"/>
      <c r="B926" s="66"/>
      <c r="C926" s="63"/>
      <c r="D926" s="63"/>
      <c r="E926" s="63"/>
      <c r="F926" s="63"/>
      <c r="G926" s="63"/>
      <c r="H926" s="63"/>
      <c r="I926" s="63"/>
      <c r="J926" s="63"/>
      <c r="K926" s="63"/>
      <c r="L926" s="66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5.75" customHeight="1">
      <c r="A927" s="63"/>
      <c r="B927" s="66"/>
      <c r="C927" s="63"/>
      <c r="D927" s="63"/>
      <c r="E927" s="63"/>
      <c r="F927" s="63"/>
      <c r="G927" s="63"/>
      <c r="H927" s="63"/>
      <c r="I927" s="63"/>
      <c r="J927" s="63"/>
      <c r="K927" s="63"/>
      <c r="L927" s="66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5.75" customHeight="1">
      <c r="A928" s="63"/>
      <c r="B928" s="66"/>
      <c r="C928" s="63"/>
      <c r="D928" s="63"/>
      <c r="E928" s="63"/>
      <c r="F928" s="63"/>
      <c r="G928" s="63"/>
      <c r="H928" s="63"/>
      <c r="I928" s="63"/>
      <c r="J928" s="63"/>
      <c r="K928" s="63"/>
      <c r="L928" s="66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5.75" customHeight="1">
      <c r="A929" s="63"/>
      <c r="B929" s="66"/>
      <c r="C929" s="63"/>
      <c r="D929" s="63"/>
      <c r="E929" s="63"/>
      <c r="F929" s="63"/>
      <c r="G929" s="63"/>
      <c r="H929" s="63"/>
      <c r="I929" s="63"/>
      <c r="J929" s="63"/>
      <c r="K929" s="63"/>
      <c r="L929" s="66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5.75" customHeight="1">
      <c r="A930" s="63"/>
      <c r="B930" s="66"/>
      <c r="C930" s="63"/>
      <c r="D930" s="63"/>
      <c r="E930" s="63"/>
      <c r="F930" s="63"/>
      <c r="G930" s="63"/>
      <c r="H930" s="63"/>
      <c r="I930" s="63"/>
      <c r="J930" s="63"/>
      <c r="K930" s="63"/>
      <c r="L930" s="66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5.75" customHeight="1">
      <c r="A931" s="63"/>
      <c r="B931" s="66"/>
      <c r="C931" s="63"/>
      <c r="D931" s="63"/>
      <c r="E931" s="63"/>
      <c r="F931" s="63"/>
      <c r="G931" s="63"/>
      <c r="H931" s="63"/>
      <c r="I931" s="63"/>
      <c r="J931" s="63"/>
      <c r="K931" s="63"/>
      <c r="L931" s="66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5.75" customHeight="1">
      <c r="A932" s="63"/>
      <c r="B932" s="66"/>
      <c r="C932" s="63"/>
      <c r="D932" s="63"/>
      <c r="E932" s="63"/>
      <c r="F932" s="63"/>
      <c r="G932" s="63"/>
      <c r="H932" s="63"/>
      <c r="I932" s="63"/>
      <c r="J932" s="63"/>
      <c r="K932" s="63"/>
      <c r="L932" s="66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5.75" customHeight="1">
      <c r="A933" s="63"/>
      <c r="B933" s="66"/>
      <c r="C933" s="63"/>
      <c r="D933" s="63"/>
      <c r="E933" s="63"/>
      <c r="F933" s="63"/>
      <c r="G933" s="63"/>
      <c r="H933" s="63"/>
      <c r="I933" s="63"/>
      <c r="J933" s="63"/>
      <c r="K933" s="63"/>
      <c r="L933" s="66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5.75" customHeight="1">
      <c r="A934" s="63"/>
      <c r="B934" s="66"/>
      <c r="C934" s="63"/>
      <c r="D934" s="63"/>
      <c r="E934" s="63"/>
      <c r="F934" s="63"/>
      <c r="G934" s="63"/>
      <c r="H934" s="63"/>
      <c r="I934" s="63"/>
      <c r="J934" s="63"/>
      <c r="K934" s="63"/>
      <c r="L934" s="66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5.75" customHeight="1">
      <c r="A935" s="63"/>
      <c r="B935" s="66"/>
      <c r="C935" s="63"/>
      <c r="D935" s="63"/>
      <c r="E935" s="63"/>
      <c r="F935" s="63"/>
      <c r="G935" s="63"/>
      <c r="H935" s="63"/>
      <c r="I935" s="63"/>
      <c r="J935" s="63"/>
      <c r="K935" s="63"/>
      <c r="L935" s="66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5.75" customHeight="1">
      <c r="A936" s="63"/>
      <c r="B936" s="66"/>
      <c r="C936" s="63"/>
      <c r="D936" s="63"/>
      <c r="E936" s="63"/>
      <c r="F936" s="63"/>
      <c r="G936" s="63"/>
      <c r="H936" s="63"/>
      <c r="I936" s="63"/>
      <c r="J936" s="63"/>
      <c r="K936" s="63"/>
      <c r="L936" s="66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5.75" customHeight="1">
      <c r="A937" s="63"/>
      <c r="B937" s="66"/>
      <c r="C937" s="63"/>
      <c r="D937" s="63"/>
      <c r="E937" s="63"/>
      <c r="F937" s="63"/>
      <c r="G937" s="63"/>
      <c r="H937" s="63"/>
      <c r="I937" s="63"/>
      <c r="J937" s="63"/>
      <c r="K937" s="63"/>
      <c r="L937" s="66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5.75" customHeight="1">
      <c r="A938" s="63"/>
      <c r="B938" s="66"/>
      <c r="C938" s="63"/>
      <c r="D938" s="63"/>
      <c r="E938" s="63"/>
      <c r="F938" s="63"/>
      <c r="G938" s="63"/>
      <c r="H938" s="63"/>
      <c r="I938" s="63"/>
      <c r="J938" s="63"/>
      <c r="K938" s="63"/>
      <c r="L938" s="66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5.75" customHeight="1">
      <c r="A939" s="63"/>
      <c r="B939" s="66"/>
      <c r="C939" s="63"/>
      <c r="D939" s="63"/>
      <c r="E939" s="63"/>
      <c r="F939" s="63"/>
      <c r="G939" s="63"/>
      <c r="H939" s="63"/>
      <c r="I939" s="63"/>
      <c r="J939" s="63"/>
      <c r="K939" s="63"/>
      <c r="L939" s="66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5.75" customHeight="1">
      <c r="A940" s="63"/>
      <c r="B940" s="66"/>
      <c r="C940" s="63"/>
      <c r="D940" s="63"/>
      <c r="E940" s="63"/>
      <c r="F940" s="63"/>
      <c r="G940" s="63"/>
      <c r="H940" s="63"/>
      <c r="I940" s="63"/>
      <c r="J940" s="63"/>
      <c r="K940" s="63"/>
      <c r="L940" s="66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5.75" customHeight="1">
      <c r="A941" s="63"/>
      <c r="B941" s="66"/>
      <c r="C941" s="63"/>
      <c r="D941" s="63"/>
      <c r="E941" s="63"/>
      <c r="F941" s="63"/>
      <c r="G941" s="63"/>
      <c r="H941" s="63"/>
      <c r="I941" s="63"/>
      <c r="J941" s="63"/>
      <c r="K941" s="63"/>
      <c r="L941" s="66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5.75" customHeight="1">
      <c r="A942" s="63"/>
      <c r="B942" s="66"/>
      <c r="C942" s="63"/>
      <c r="D942" s="63"/>
      <c r="E942" s="63"/>
      <c r="F942" s="63"/>
      <c r="G942" s="63"/>
      <c r="H942" s="63"/>
      <c r="I942" s="63"/>
      <c r="J942" s="63"/>
      <c r="K942" s="63"/>
      <c r="L942" s="66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5.75" customHeight="1">
      <c r="A943" s="63"/>
      <c r="B943" s="66"/>
      <c r="C943" s="63"/>
      <c r="D943" s="63"/>
      <c r="E943" s="63"/>
      <c r="F943" s="63"/>
      <c r="G943" s="63"/>
      <c r="H943" s="63"/>
      <c r="I943" s="63"/>
      <c r="J943" s="63"/>
      <c r="K943" s="63"/>
      <c r="L943" s="66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5.75" customHeight="1">
      <c r="A944" s="63"/>
      <c r="B944" s="66"/>
      <c r="C944" s="63"/>
      <c r="D944" s="63"/>
      <c r="E944" s="63"/>
      <c r="F944" s="63"/>
      <c r="G944" s="63"/>
      <c r="H944" s="63"/>
      <c r="I944" s="63"/>
      <c r="J944" s="63"/>
      <c r="K944" s="63"/>
      <c r="L944" s="66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5.75" customHeight="1">
      <c r="A945" s="63"/>
      <c r="B945" s="66"/>
      <c r="C945" s="63"/>
      <c r="D945" s="63"/>
      <c r="E945" s="63"/>
      <c r="F945" s="63"/>
      <c r="G945" s="63"/>
      <c r="H945" s="63"/>
      <c r="I945" s="63"/>
      <c r="J945" s="63"/>
      <c r="K945" s="63"/>
      <c r="L945" s="66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5.75" customHeight="1">
      <c r="A946" s="63"/>
      <c r="B946" s="66"/>
      <c r="C946" s="63"/>
      <c r="D946" s="63"/>
      <c r="E946" s="63"/>
      <c r="F946" s="63"/>
      <c r="G946" s="63"/>
      <c r="H946" s="63"/>
      <c r="I946" s="63"/>
      <c r="J946" s="63"/>
      <c r="K946" s="63"/>
      <c r="L946" s="66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5.75" customHeight="1">
      <c r="A947" s="63"/>
      <c r="B947" s="66"/>
      <c r="C947" s="63"/>
      <c r="D947" s="63"/>
      <c r="E947" s="63"/>
      <c r="F947" s="63"/>
      <c r="G947" s="63"/>
      <c r="H947" s="63"/>
      <c r="I947" s="63"/>
      <c r="J947" s="63"/>
      <c r="K947" s="63"/>
      <c r="L947" s="66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5.75" customHeight="1">
      <c r="A948" s="63"/>
      <c r="B948" s="66"/>
      <c r="C948" s="63"/>
      <c r="D948" s="63"/>
      <c r="E948" s="63"/>
      <c r="F948" s="63"/>
      <c r="G948" s="63"/>
      <c r="H948" s="63"/>
      <c r="I948" s="63"/>
      <c r="J948" s="63"/>
      <c r="K948" s="63"/>
      <c r="L948" s="66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5.75" customHeight="1">
      <c r="A949" s="63"/>
      <c r="B949" s="66"/>
      <c r="C949" s="63"/>
      <c r="D949" s="63"/>
      <c r="E949" s="63"/>
      <c r="F949" s="63"/>
      <c r="G949" s="63"/>
      <c r="H949" s="63"/>
      <c r="I949" s="63"/>
      <c r="J949" s="63"/>
      <c r="K949" s="63"/>
      <c r="L949" s="66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5.75" customHeight="1">
      <c r="A950" s="63"/>
      <c r="B950" s="66"/>
      <c r="C950" s="63"/>
      <c r="D950" s="63"/>
      <c r="E950" s="63"/>
      <c r="F950" s="63"/>
      <c r="G950" s="63"/>
      <c r="H950" s="63"/>
      <c r="I950" s="63"/>
      <c r="J950" s="63"/>
      <c r="K950" s="63"/>
      <c r="L950" s="66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5.75" customHeight="1">
      <c r="A951" s="63"/>
      <c r="B951" s="66"/>
      <c r="C951" s="63"/>
      <c r="D951" s="63"/>
      <c r="E951" s="63"/>
      <c r="F951" s="63"/>
      <c r="G951" s="63"/>
      <c r="H951" s="63"/>
      <c r="I951" s="63"/>
      <c r="J951" s="63"/>
      <c r="K951" s="63"/>
      <c r="L951" s="66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5.75" customHeight="1">
      <c r="A952" s="63"/>
      <c r="B952" s="66"/>
      <c r="C952" s="63"/>
      <c r="D952" s="63"/>
      <c r="E952" s="63"/>
      <c r="F952" s="63"/>
      <c r="G952" s="63"/>
      <c r="H952" s="63"/>
      <c r="I952" s="63"/>
      <c r="J952" s="63"/>
      <c r="K952" s="63"/>
      <c r="L952" s="66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5.75" customHeight="1">
      <c r="A953" s="63"/>
      <c r="B953" s="66"/>
      <c r="C953" s="63"/>
      <c r="D953" s="63"/>
      <c r="E953" s="63"/>
      <c r="F953" s="63"/>
      <c r="G953" s="63"/>
      <c r="H953" s="63"/>
      <c r="I953" s="63"/>
      <c r="J953" s="63"/>
      <c r="K953" s="63"/>
      <c r="L953" s="66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5.75" customHeight="1">
      <c r="A954" s="63"/>
      <c r="B954" s="66"/>
      <c r="C954" s="63"/>
      <c r="D954" s="63"/>
      <c r="E954" s="63"/>
      <c r="F954" s="63"/>
      <c r="G954" s="63"/>
      <c r="H954" s="63"/>
      <c r="I954" s="63"/>
      <c r="J954" s="63"/>
      <c r="K954" s="63"/>
      <c r="L954" s="66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5.75" customHeight="1">
      <c r="A955" s="63"/>
      <c r="B955" s="66"/>
      <c r="C955" s="63"/>
      <c r="D955" s="63"/>
      <c r="E955" s="63"/>
      <c r="F955" s="63"/>
      <c r="G955" s="63"/>
      <c r="H955" s="63"/>
      <c r="I955" s="63"/>
      <c r="J955" s="63"/>
      <c r="K955" s="63"/>
      <c r="L955" s="66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5.75" customHeight="1">
      <c r="A956" s="63"/>
      <c r="B956" s="66"/>
      <c r="C956" s="63"/>
      <c r="D956" s="63"/>
      <c r="E956" s="63"/>
      <c r="F956" s="63"/>
      <c r="G956" s="63"/>
      <c r="H956" s="63"/>
      <c r="I956" s="63"/>
      <c r="J956" s="63"/>
      <c r="K956" s="63"/>
      <c r="L956" s="66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5.75" customHeight="1">
      <c r="A957" s="63"/>
      <c r="B957" s="66"/>
      <c r="C957" s="63"/>
      <c r="D957" s="63"/>
      <c r="E957" s="63"/>
      <c r="F957" s="63"/>
      <c r="G957" s="63"/>
      <c r="H957" s="63"/>
      <c r="I957" s="63"/>
      <c r="J957" s="63"/>
      <c r="K957" s="63"/>
      <c r="L957" s="66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5.75" customHeight="1">
      <c r="A958" s="63"/>
      <c r="B958" s="66"/>
      <c r="C958" s="63"/>
      <c r="D958" s="63"/>
      <c r="E958" s="63"/>
      <c r="F958" s="63"/>
      <c r="G958" s="63"/>
      <c r="H958" s="63"/>
      <c r="I958" s="63"/>
      <c r="J958" s="63"/>
      <c r="K958" s="63"/>
      <c r="L958" s="66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5.75" customHeight="1">
      <c r="A959" s="63"/>
      <c r="B959" s="66"/>
      <c r="C959" s="63"/>
      <c r="D959" s="63"/>
      <c r="E959" s="63"/>
      <c r="F959" s="63"/>
      <c r="G959" s="63"/>
      <c r="H959" s="63"/>
      <c r="I959" s="63"/>
      <c r="J959" s="63"/>
      <c r="K959" s="63"/>
      <c r="L959" s="66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5.75" customHeight="1">
      <c r="A960" s="63"/>
      <c r="B960" s="66"/>
      <c r="C960" s="63"/>
      <c r="D960" s="63"/>
      <c r="E960" s="63"/>
      <c r="F960" s="63"/>
      <c r="G960" s="63"/>
      <c r="H960" s="63"/>
      <c r="I960" s="63"/>
      <c r="J960" s="63"/>
      <c r="K960" s="63"/>
      <c r="L960" s="66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5.75" customHeight="1">
      <c r="A961" s="63"/>
      <c r="B961" s="66"/>
      <c r="C961" s="63"/>
      <c r="D961" s="63"/>
      <c r="E961" s="63"/>
      <c r="F961" s="63"/>
      <c r="G961" s="63"/>
      <c r="H961" s="63"/>
      <c r="I961" s="63"/>
      <c r="J961" s="63"/>
      <c r="K961" s="63"/>
      <c r="L961" s="66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5.75" customHeight="1">
      <c r="A962" s="63"/>
      <c r="B962" s="66"/>
      <c r="C962" s="63"/>
      <c r="D962" s="63"/>
      <c r="E962" s="63"/>
      <c r="F962" s="63"/>
      <c r="G962" s="63"/>
      <c r="H962" s="63"/>
      <c r="I962" s="63"/>
      <c r="J962" s="63"/>
      <c r="K962" s="63"/>
      <c r="L962" s="66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5.75" customHeight="1">
      <c r="A963" s="63"/>
      <c r="B963" s="66"/>
      <c r="C963" s="63"/>
      <c r="D963" s="63"/>
      <c r="E963" s="63"/>
      <c r="F963" s="63"/>
      <c r="G963" s="63"/>
      <c r="H963" s="63"/>
      <c r="I963" s="63"/>
      <c r="J963" s="63"/>
      <c r="K963" s="63"/>
      <c r="L963" s="66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5.75" customHeight="1">
      <c r="A964" s="63"/>
      <c r="B964" s="66"/>
      <c r="C964" s="63"/>
      <c r="D964" s="63"/>
      <c r="E964" s="63"/>
      <c r="F964" s="63"/>
      <c r="G964" s="63"/>
      <c r="H964" s="63"/>
      <c r="I964" s="63"/>
      <c r="J964" s="63"/>
      <c r="K964" s="63"/>
      <c r="L964" s="66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5.75" customHeight="1">
      <c r="A965" s="63"/>
      <c r="B965" s="66"/>
      <c r="C965" s="63"/>
      <c r="D965" s="63"/>
      <c r="E965" s="63"/>
      <c r="F965" s="63"/>
      <c r="G965" s="63"/>
      <c r="H965" s="63"/>
      <c r="I965" s="63"/>
      <c r="J965" s="63"/>
      <c r="K965" s="63"/>
      <c r="L965" s="66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5.75" customHeight="1">
      <c r="A966" s="63"/>
      <c r="B966" s="66"/>
      <c r="C966" s="63"/>
      <c r="D966" s="63"/>
      <c r="E966" s="63"/>
      <c r="F966" s="63"/>
      <c r="G966" s="63"/>
      <c r="H966" s="63"/>
      <c r="I966" s="63"/>
      <c r="J966" s="63"/>
      <c r="K966" s="63"/>
      <c r="L966" s="66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5.75" customHeight="1">
      <c r="A967" s="63"/>
      <c r="B967" s="66"/>
      <c r="C967" s="63"/>
      <c r="D967" s="63"/>
      <c r="E967" s="63"/>
      <c r="F967" s="63"/>
      <c r="G967" s="63"/>
      <c r="H967" s="63"/>
      <c r="I967" s="63"/>
      <c r="J967" s="63"/>
      <c r="K967" s="63"/>
      <c r="L967" s="66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5.75" customHeight="1">
      <c r="A968" s="63"/>
      <c r="B968" s="66"/>
      <c r="C968" s="63"/>
      <c r="D968" s="63"/>
      <c r="E968" s="63"/>
      <c r="F968" s="63"/>
      <c r="G968" s="63"/>
      <c r="H968" s="63"/>
      <c r="I968" s="63"/>
      <c r="J968" s="63"/>
      <c r="K968" s="63"/>
      <c r="L968" s="66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5.75" customHeight="1">
      <c r="A969" s="63"/>
      <c r="B969" s="66"/>
      <c r="C969" s="63"/>
      <c r="D969" s="63"/>
      <c r="E969" s="63"/>
      <c r="F969" s="63"/>
      <c r="G969" s="63"/>
      <c r="H969" s="63"/>
      <c r="I969" s="63"/>
      <c r="J969" s="63"/>
      <c r="K969" s="63"/>
      <c r="L969" s="66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5.75" customHeight="1">
      <c r="A970" s="63"/>
      <c r="B970" s="66"/>
      <c r="C970" s="63"/>
      <c r="D970" s="63"/>
      <c r="E970" s="63"/>
      <c r="F970" s="63"/>
      <c r="G970" s="63"/>
      <c r="H970" s="63"/>
      <c r="I970" s="63"/>
      <c r="J970" s="63"/>
      <c r="K970" s="63"/>
      <c r="L970" s="66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5.75" customHeight="1">
      <c r="A971" s="63"/>
      <c r="B971" s="66"/>
      <c r="C971" s="63"/>
      <c r="D971" s="63"/>
      <c r="E971" s="63"/>
      <c r="F971" s="63"/>
      <c r="G971" s="63"/>
      <c r="H971" s="63"/>
      <c r="I971" s="63"/>
      <c r="J971" s="63"/>
      <c r="K971" s="63"/>
      <c r="L971" s="66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5.75" customHeight="1">
      <c r="A972" s="63"/>
      <c r="B972" s="66"/>
      <c r="C972" s="63"/>
      <c r="D972" s="63"/>
      <c r="E972" s="63"/>
      <c r="F972" s="63"/>
      <c r="G972" s="63"/>
      <c r="H972" s="63"/>
      <c r="I972" s="63"/>
      <c r="J972" s="63"/>
      <c r="K972" s="63"/>
      <c r="L972" s="66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5.75" customHeight="1">
      <c r="A973" s="63"/>
      <c r="B973" s="66"/>
      <c r="C973" s="63"/>
      <c r="D973" s="63"/>
      <c r="E973" s="63"/>
      <c r="F973" s="63"/>
      <c r="G973" s="63"/>
      <c r="H973" s="63"/>
      <c r="I973" s="63"/>
      <c r="J973" s="63"/>
      <c r="K973" s="63"/>
      <c r="L973" s="66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5.75" customHeight="1">
      <c r="A974" s="63"/>
      <c r="B974" s="66"/>
      <c r="C974" s="63"/>
      <c r="D974" s="63"/>
      <c r="E974" s="63"/>
      <c r="F974" s="63"/>
      <c r="G974" s="63"/>
      <c r="H974" s="63"/>
      <c r="I974" s="63"/>
      <c r="J974" s="63"/>
      <c r="K974" s="63"/>
      <c r="L974" s="66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5.75" customHeight="1">
      <c r="A975" s="63"/>
      <c r="B975" s="66"/>
      <c r="C975" s="63"/>
      <c r="D975" s="63"/>
      <c r="E975" s="63"/>
      <c r="F975" s="63"/>
      <c r="G975" s="63"/>
      <c r="H975" s="63"/>
      <c r="I975" s="63"/>
      <c r="J975" s="63"/>
      <c r="K975" s="63"/>
      <c r="L975" s="66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5.75" customHeight="1">
      <c r="A976" s="63"/>
      <c r="B976" s="66"/>
      <c r="C976" s="63"/>
      <c r="D976" s="63"/>
      <c r="E976" s="63"/>
      <c r="F976" s="63"/>
      <c r="G976" s="63"/>
      <c r="H976" s="63"/>
      <c r="I976" s="63"/>
      <c r="J976" s="63"/>
      <c r="K976" s="63"/>
      <c r="L976" s="66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5.75" customHeight="1">
      <c r="A977" s="63"/>
      <c r="B977" s="66"/>
      <c r="C977" s="63"/>
      <c r="D977" s="63"/>
      <c r="E977" s="63"/>
      <c r="F977" s="63"/>
      <c r="G977" s="63"/>
      <c r="H977" s="63"/>
      <c r="I977" s="63"/>
      <c r="J977" s="63"/>
      <c r="K977" s="63"/>
      <c r="L977" s="66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5.75" customHeight="1">
      <c r="A978" s="63"/>
      <c r="B978" s="66"/>
      <c r="C978" s="63"/>
      <c r="D978" s="63"/>
      <c r="E978" s="63"/>
      <c r="F978" s="63"/>
      <c r="G978" s="63"/>
      <c r="H978" s="63"/>
      <c r="I978" s="63"/>
      <c r="J978" s="63"/>
      <c r="K978" s="63"/>
      <c r="L978" s="66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5.75" customHeight="1">
      <c r="A979" s="63"/>
      <c r="B979" s="66"/>
      <c r="C979" s="63"/>
      <c r="D979" s="63"/>
      <c r="E979" s="63"/>
      <c r="F979" s="63"/>
      <c r="G979" s="63"/>
      <c r="H979" s="63"/>
      <c r="I979" s="63"/>
      <c r="J979" s="63"/>
      <c r="K979" s="63"/>
      <c r="L979" s="66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5.75" customHeight="1">
      <c r="A980" s="63"/>
      <c r="B980" s="66"/>
      <c r="C980" s="63"/>
      <c r="D980" s="63"/>
      <c r="E980" s="63"/>
      <c r="F980" s="63"/>
      <c r="G980" s="63"/>
      <c r="H980" s="63"/>
      <c r="I980" s="63"/>
      <c r="J980" s="63"/>
      <c r="K980" s="63"/>
      <c r="L980" s="66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5.75" customHeight="1">
      <c r="A981" s="63"/>
      <c r="B981" s="66"/>
      <c r="C981" s="63"/>
      <c r="D981" s="63"/>
      <c r="E981" s="63"/>
      <c r="F981" s="63"/>
      <c r="G981" s="63"/>
      <c r="H981" s="63"/>
      <c r="I981" s="63"/>
      <c r="J981" s="63"/>
      <c r="K981" s="63"/>
      <c r="L981" s="66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5.75" customHeight="1">
      <c r="A982" s="63"/>
      <c r="B982" s="66"/>
      <c r="C982" s="63"/>
      <c r="D982" s="63"/>
      <c r="E982" s="63"/>
      <c r="F982" s="63"/>
      <c r="G982" s="63"/>
      <c r="H982" s="63"/>
      <c r="I982" s="63"/>
      <c r="J982" s="63"/>
      <c r="K982" s="63"/>
      <c r="L982" s="66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5.75" customHeight="1">
      <c r="A983" s="63"/>
      <c r="B983" s="66"/>
      <c r="C983" s="63"/>
      <c r="D983" s="63"/>
      <c r="E983" s="63"/>
      <c r="F983" s="63"/>
      <c r="G983" s="63"/>
      <c r="H983" s="63"/>
      <c r="I983" s="63"/>
      <c r="J983" s="63"/>
      <c r="K983" s="63"/>
      <c r="L983" s="66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5.75" customHeight="1">
      <c r="A984" s="63"/>
      <c r="B984" s="66"/>
      <c r="C984" s="63"/>
      <c r="D984" s="63"/>
      <c r="E984" s="63"/>
      <c r="F984" s="63"/>
      <c r="G984" s="63"/>
      <c r="H984" s="63"/>
      <c r="I984" s="63"/>
      <c r="J984" s="63"/>
      <c r="K984" s="63"/>
      <c r="L984" s="66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5.75" customHeight="1">
      <c r="A985" s="63"/>
      <c r="B985" s="66"/>
      <c r="C985" s="63"/>
      <c r="D985" s="63"/>
      <c r="E985" s="63"/>
      <c r="F985" s="63"/>
      <c r="G985" s="63"/>
      <c r="H985" s="63"/>
      <c r="I985" s="63"/>
      <c r="J985" s="63"/>
      <c r="K985" s="63"/>
      <c r="L985" s="66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5.75" customHeight="1">
      <c r="A986" s="63"/>
      <c r="B986" s="66"/>
      <c r="C986" s="63"/>
      <c r="D986" s="63"/>
      <c r="E986" s="63"/>
      <c r="F986" s="63"/>
      <c r="G986" s="63"/>
      <c r="H986" s="63"/>
      <c r="I986" s="63"/>
      <c r="J986" s="63"/>
      <c r="K986" s="63"/>
      <c r="L986" s="66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5.75" customHeight="1">
      <c r="A987" s="63"/>
      <c r="B987" s="66"/>
      <c r="C987" s="63"/>
      <c r="D987" s="63"/>
      <c r="E987" s="63"/>
      <c r="F987" s="63"/>
      <c r="G987" s="63"/>
      <c r="H987" s="63"/>
      <c r="I987" s="63"/>
      <c r="J987" s="63"/>
      <c r="K987" s="63"/>
      <c r="L987" s="66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5.75" customHeight="1">
      <c r="A988" s="63"/>
      <c r="B988" s="66"/>
      <c r="C988" s="63"/>
      <c r="D988" s="63"/>
      <c r="E988" s="63"/>
      <c r="F988" s="63"/>
      <c r="G988" s="63"/>
      <c r="H988" s="63"/>
      <c r="I988" s="63"/>
      <c r="J988" s="63"/>
      <c r="K988" s="63"/>
      <c r="L988" s="66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5.75" customHeight="1">
      <c r="A989" s="63"/>
      <c r="B989" s="66"/>
      <c r="C989" s="63"/>
      <c r="D989" s="63"/>
      <c r="E989" s="63"/>
      <c r="F989" s="63"/>
      <c r="G989" s="63"/>
      <c r="H989" s="63"/>
      <c r="I989" s="63"/>
      <c r="J989" s="63"/>
      <c r="K989" s="63"/>
      <c r="L989" s="66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5.75" customHeight="1">
      <c r="A990" s="63"/>
      <c r="B990" s="66"/>
      <c r="C990" s="63"/>
      <c r="D990" s="63"/>
      <c r="E990" s="63"/>
      <c r="F990" s="63"/>
      <c r="G990" s="63"/>
      <c r="H990" s="63"/>
      <c r="I990" s="63"/>
      <c r="J990" s="63"/>
      <c r="K990" s="63"/>
      <c r="L990" s="66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5.75" customHeight="1">
      <c r="A991" s="63"/>
      <c r="B991" s="66"/>
      <c r="C991" s="63"/>
      <c r="D991" s="63"/>
      <c r="E991" s="63"/>
      <c r="F991" s="63"/>
      <c r="G991" s="63"/>
      <c r="H991" s="63"/>
      <c r="I991" s="63"/>
      <c r="J991" s="63"/>
      <c r="K991" s="63"/>
      <c r="L991" s="66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5.75" customHeight="1">
      <c r="A992" s="63"/>
      <c r="B992" s="66"/>
      <c r="C992" s="63"/>
      <c r="D992" s="63"/>
      <c r="E992" s="63"/>
      <c r="F992" s="63"/>
      <c r="G992" s="63"/>
      <c r="H992" s="63"/>
      <c r="I992" s="63"/>
      <c r="J992" s="63"/>
      <c r="K992" s="63"/>
      <c r="L992" s="66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5.75" customHeight="1">
      <c r="A993" s="63"/>
      <c r="B993" s="66"/>
      <c r="C993" s="63"/>
      <c r="D993" s="63"/>
      <c r="E993" s="63"/>
      <c r="F993" s="63"/>
      <c r="G993" s="63"/>
      <c r="H993" s="63"/>
      <c r="I993" s="63"/>
      <c r="J993" s="63"/>
      <c r="K993" s="63"/>
      <c r="L993" s="66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5.75" customHeight="1">
      <c r="A994" s="63"/>
      <c r="B994" s="66"/>
      <c r="C994" s="63"/>
      <c r="D994" s="63"/>
      <c r="E994" s="63"/>
      <c r="F994" s="63"/>
      <c r="G994" s="63"/>
      <c r="H994" s="63"/>
      <c r="I994" s="63"/>
      <c r="J994" s="63"/>
      <c r="K994" s="63"/>
      <c r="L994" s="66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5.75" customHeight="1">
      <c r="A995" s="63"/>
      <c r="B995" s="66"/>
      <c r="C995" s="63"/>
      <c r="D995" s="63"/>
      <c r="E995" s="63"/>
      <c r="F995" s="63"/>
      <c r="G995" s="63"/>
      <c r="H995" s="63"/>
      <c r="I995" s="63"/>
      <c r="J995" s="63"/>
      <c r="K995" s="63"/>
      <c r="L995" s="66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5.75" customHeight="1">
      <c r="A996" s="63"/>
      <c r="B996" s="66"/>
      <c r="C996" s="63"/>
      <c r="D996" s="63"/>
      <c r="E996" s="63"/>
      <c r="F996" s="63"/>
      <c r="G996" s="63"/>
      <c r="H996" s="63"/>
      <c r="I996" s="63"/>
      <c r="J996" s="63"/>
      <c r="K996" s="63"/>
      <c r="L996" s="66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5.75" customHeight="1">
      <c r="A997" s="63"/>
      <c r="B997" s="66"/>
      <c r="C997" s="63"/>
      <c r="D997" s="63"/>
      <c r="E997" s="63"/>
      <c r="F997" s="63"/>
      <c r="G997" s="63"/>
      <c r="H997" s="63"/>
      <c r="I997" s="63"/>
      <c r="J997" s="63"/>
      <c r="K997" s="63"/>
      <c r="L997" s="66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5.75" customHeight="1">
      <c r="A998" s="63"/>
      <c r="B998" s="66"/>
      <c r="C998" s="63"/>
      <c r="D998" s="63"/>
      <c r="E998" s="63"/>
      <c r="F998" s="63"/>
      <c r="G998" s="63"/>
      <c r="H998" s="63"/>
      <c r="I998" s="63"/>
      <c r="J998" s="63"/>
      <c r="K998" s="63"/>
      <c r="L998" s="66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5.75" customHeight="1">
      <c r="A999" s="63"/>
      <c r="B999" s="66"/>
      <c r="C999" s="63"/>
      <c r="D999" s="63"/>
      <c r="E999" s="63"/>
      <c r="F999" s="63"/>
      <c r="G999" s="63"/>
      <c r="H999" s="63"/>
      <c r="I999" s="63"/>
      <c r="J999" s="63"/>
      <c r="K999" s="63"/>
      <c r="L999" s="66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5.75" customHeight="1">
      <c r="A1000" s="63"/>
      <c r="B1000" s="66"/>
      <c r="C1000" s="63"/>
      <c r="D1000" s="63"/>
      <c r="E1000" s="63"/>
      <c r="F1000" s="63"/>
      <c r="G1000" s="63"/>
      <c r="H1000" s="63"/>
      <c r="I1000" s="63"/>
      <c r="J1000" s="63"/>
      <c r="K1000" s="63"/>
      <c r="L1000" s="66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1">
    <mergeCell ref="A1:L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3" width="22.0"/>
    <col customWidth="1" min="4" max="4" width="21.29"/>
    <col customWidth="1" min="5" max="5" width="14.0"/>
    <col customWidth="1" min="6" max="26" width="8.71"/>
  </cols>
  <sheetData>
    <row r="1">
      <c r="A1" s="26" t="s">
        <v>162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68"/>
      <c r="B2" s="69"/>
      <c r="C2" s="69"/>
      <c r="D2" s="69"/>
      <c r="E2" s="69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70" t="s">
        <v>163</v>
      </c>
      <c r="B3" s="71" t="s">
        <v>99</v>
      </c>
      <c r="C3" s="69"/>
      <c r="D3" s="69"/>
      <c r="E3" s="69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70" t="s">
        <v>164</v>
      </c>
      <c r="B4" s="71" t="s">
        <v>105</v>
      </c>
      <c r="C4" s="69"/>
      <c r="D4" s="69"/>
      <c r="E4" s="69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69"/>
      <c r="B5" s="69"/>
      <c r="C5" s="69"/>
      <c r="D5" s="69"/>
      <c r="E5" s="69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72" t="s">
        <v>165</v>
      </c>
      <c r="B6" s="73"/>
      <c r="C6" s="73"/>
      <c r="D6" s="73"/>
      <c r="E6" s="74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75" t="s">
        <v>142</v>
      </c>
      <c r="B7" s="75" t="s">
        <v>163</v>
      </c>
      <c r="C7" s="75" t="s">
        <v>164</v>
      </c>
      <c r="D7" s="69"/>
      <c r="E7" s="69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32" t="s">
        <v>44</v>
      </c>
      <c r="B8" s="32">
        <f>IF($B$3="","",IFERROR(VLOOKUP($B$3,Stats!$A:$U,12,FALSE),0))</f>
        <v>2</v>
      </c>
      <c r="C8" s="32">
        <f>IF($B$4="","",IFERROR(VLOOKUP($B$4,Stats!$A:$U,12,FALSE),0))</f>
        <v>10</v>
      </c>
      <c r="D8" s="69"/>
      <c r="E8" s="69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32" t="s">
        <v>5</v>
      </c>
      <c r="B9" s="32">
        <f>IF($B$3="","",IFERROR(VLOOKUP($B$3,Stats!$A:$U,2,FALSE),0))</f>
        <v>19</v>
      </c>
      <c r="C9" s="32">
        <f>IF($B$4="","",IFERROR(VLOOKUP($B$4,Stats!$A:$U,2,FALSE),0))</f>
        <v>19</v>
      </c>
      <c r="D9" s="69"/>
      <c r="E9" s="69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32" t="s">
        <v>9</v>
      </c>
      <c r="B10" s="32">
        <f>IF($B$3="","",IFERROR(VLOOKUP($B$3,Stats!$A:$U,3,FALSE),0))</f>
        <v>14</v>
      </c>
      <c r="C10" s="32">
        <f>IF($B$4="","",IFERROR(VLOOKUP($B$4,Stats!$A:$U,3,FALSE),0))</f>
        <v>10</v>
      </c>
      <c r="D10" s="69"/>
      <c r="E10" s="69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32" t="s">
        <v>13</v>
      </c>
      <c r="B11" s="32">
        <f>IF($B$3="","",IFERROR(VLOOKUP($B$3,Stats!$A:$U,4,FALSE),0))</f>
        <v>2</v>
      </c>
      <c r="C11" s="32">
        <f>IF($B$4="","",IFERROR(VLOOKUP($B$4,Stats!$A:$U,4,FALSE),0))</f>
        <v>2</v>
      </c>
      <c r="D11" s="69"/>
      <c r="E11" s="69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32" t="s">
        <v>17</v>
      </c>
      <c r="B12" s="32">
        <f>IF($B$3="","",IFERROR(VLOOKUP($B$3,Stats!$A:$U,5,FALSE),0))</f>
        <v>3</v>
      </c>
      <c r="C12" s="32">
        <f>IF($B$4="","",IFERROR(VLOOKUP($B$4,Stats!$A:$U,5,FALSE),0))</f>
        <v>7</v>
      </c>
      <c r="D12" s="69"/>
      <c r="E12" s="69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32" t="s">
        <v>20</v>
      </c>
      <c r="B13" s="32">
        <f>IF($B$3="","",IFERROR(VLOOKUP($B$3,Stats!$A:$U,6,FALSE),0))</f>
        <v>108</v>
      </c>
      <c r="C13" s="32">
        <f>IF($B$4="","",IFERROR(VLOOKUP($B$4,Stats!$A:$U,6,FALSE),0))</f>
        <v>89</v>
      </c>
      <c r="D13" s="69"/>
      <c r="E13" s="69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32" t="s">
        <v>24</v>
      </c>
      <c r="B14" s="32">
        <f>IF($B$3="","",IFERROR(VLOOKUP($B$3,Stats!$A:$U,7,FALSE),0))</f>
        <v>73</v>
      </c>
      <c r="C14" s="32">
        <f>IF($B$4="","",IFERROR(VLOOKUP($B$4,Stats!$A:$U,7,FALSE),0))</f>
        <v>73</v>
      </c>
      <c r="D14" s="69"/>
      <c r="E14" s="69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69" t="s">
        <v>28</v>
      </c>
      <c r="B15" s="69">
        <f>IF($B$3="","",IFERROR(VLOOKUP($B$3,Stats!$A:$U,8,FALSE),0))</f>
        <v>35</v>
      </c>
      <c r="C15" s="69">
        <f>IF($B$4="","",IFERROR(VLOOKUP($B$4,Stats!$A:$U,8,FALSE),0))</f>
        <v>16</v>
      </c>
      <c r="D15" s="69"/>
      <c r="E15" s="69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69" t="s">
        <v>47</v>
      </c>
      <c r="B16" s="69">
        <f>IF($B$3="","",IFERROR(VLOOKUP($B$3,Stats!$A:$U,13,FALSE),0))</f>
        <v>3</v>
      </c>
      <c r="C16" s="69">
        <f>IF($B$4="","",IFERROR(VLOOKUP($B$4,Stats!$A:$U,13,FALSE),0))</f>
        <v>0</v>
      </c>
      <c r="D16" s="69"/>
      <c r="E16" s="69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76" t="s">
        <v>166</v>
      </c>
      <c r="B17" s="77">
        <f>IF($B$3="","",IFERROR(VLOOKUP($B$3,Stats!$A:$U,16,FALSE),0))</f>
        <v>0.7368421053</v>
      </c>
      <c r="C17" s="77">
        <f>IF($B$4="","",IFERROR(VLOOKUP($B$4,Stats!$A:$U,16,FALSE),0))</f>
        <v>0.5263157895</v>
      </c>
      <c r="D17" s="69"/>
      <c r="E17" s="69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69" t="s">
        <v>40</v>
      </c>
      <c r="B18" s="69">
        <f>IF($B$3="","",IFERROR(VLOOKUP($B$3,Stats!$A:$U,11,FALSE),0))</f>
        <v>44</v>
      </c>
      <c r="C18" s="69">
        <f>IF($B$4="","",IFERROR(VLOOKUP($B$4,Stats!$A:$U,11,FALSE),0))</f>
        <v>32</v>
      </c>
      <c r="D18" s="69"/>
      <c r="E18" s="69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69" t="s">
        <v>75</v>
      </c>
      <c r="B19" s="69">
        <f>IF($B$3="","",IFERROR(VLOOKUP($B$3,Stats!$A:$U,21,FALSE),0))</f>
        <v>2.315789474</v>
      </c>
      <c r="C19" s="69">
        <f>IF($B$4="","",IFERROR(VLOOKUP($B$4,Stats!$A:$U,21,FALSE),0))</f>
        <v>1.684210526</v>
      </c>
      <c r="D19" s="69"/>
      <c r="E19" s="69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69" t="s">
        <v>167</v>
      </c>
      <c r="B20" s="69">
        <f>IF($B$3="","",IFERROR(VLOOKUP($B$3,Stats!$A:$U,14,FALSE),0))</f>
        <v>5.684210526</v>
      </c>
      <c r="C20" s="69">
        <f>IF($B$4="","",IFERROR(VLOOKUP($B$4,Stats!$A:$U,14,FALSE),0))</f>
        <v>4.684210526</v>
      </c>
      <c r="D20" s="69"/>
      <c r="E20" s="69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69" t="s">
        <v>168</v>
      </c>
      <c r="B21" s="69">
        <f>IF($B$3="","",IFERROR(VLOOKUP($B$3,Stats!$A:$U,15,FALSE),0))</f>
        <v>3.842105263</v>
      </c>
      <c r="C21" s="69">
        <f>IF($B$4="","",IFERROR(VLOOKUP($B$4,Stats!$A:$U,15,FALSE),0))</f>
        <v>3.842105263</v>
      </c>
      <c r="D21" s="69"/>
      <c r="E21" s="69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69" t="s">
        <v>68</v>
      </c>
      <c r="B22" s="69">
        <f>IF($B$3="","",IFERROR(VLOOKUP($B$3,Stats!$A:$U,19,FALSE),0))</f>
        <v>0</v>
      </c>
      <c r="C22" s="69">
        <f>IF($B$4="","",IFERROR(VLOOKUP($B$4,Stats!$A:$U,19,FALSE),0))</f>
        <v>0</v>
      </c>
      <c r="D22" s="69"/>
      <c r="E22" s="69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69" t="s">
        <v>71</v>
      </c>
      <c r="B23" s="69">
        <f>IF($B$3="","",IFERROR(VLOOKUP($B$3,Stats!$A:$U,20,FALSE),0))</f>
        <v>2</v>
      </c>
      <c r="C23" s="69">
        <f>IF($B$4="","",IFERROR(VLOOKUP($B$4,Stats!$A:$U,20,FALSE),0))</f>
        <v>0</v>
      </c>
      <c r="D23" s="69"/>
      <c r="E23" s="69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69" t="s">
        <v>169</v>
      </c>
      <c r="B24" s="69">
        <f>IF($B$3="","",IFERROR(VLOOKUP($B$3,Stats!$A:$U,17,FALSE),0))</f>
        <v>8</v>
      </c>
      <c r="C24" s="69">
        <f>IF($B$4="","",IFERROR(VLOOKUP($B$4,Stats!$A:$U,17,FALSE),0))</f>
        <v>6</v>
      </c>
      <c r="D24" s="69"/>
      <c r="E24" s="69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69" t="s">
        <v>170</v>
      </c>
      <c r="B25" s="69">
        <f>IF($B$3="","",IFERROR(VLOOKUP($B$3,Stats!$A:$U,18,FALSE),0))</f>
        <v>6</v>
      </c>
      <c r="C25" s="69">
        <f>IF($B$4="","",IFERROR(VLOOKUP($B$4,Stats!$A:$U,18,FALSE),0))</f>
        <v>5</v>
      </c>
      <c r="D25" s="69"/>
      <c r="E25" s="69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69"/>
      <c r="B26" s="69"/>
      <c r="C26" s="69"/>
      <c r="D26" s="69"/>
      <c r="E26" s="69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69"/>
      <c r="B27" s="69"/>
      <c r="C27" s="69"/>
      <c r="D27" s="69"/>
      <c r="E27" s="69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70" t="s">
        <v>171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78" t="s">
        <v>172</v>
      </c>
      <c r="B29" s="69">
        <f>IF(OR($B$3="",$B$4=""),"",ROUND($B$43,2))</f>
        <v>93.03</v>
      </c>
      <c r="C29" s="69">
        <f>IF(OR($B$3="",$B$4=""),"",ROUND($B$44,2))</f>
        <v>40.77</v>
      </c>
      <c r="D29" s="69"/>
      <c r="E29" s="69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79" t="s">
        <v>173</v>
      </c>
      <c r="B30" s="56">
        <f>IF($B$32="","",(1-$B$32)*($B$43/($B$43+$B$44)))</f>
        <v>0.5214588687</v>
      </c>
      <c r="C30" s="69"/>
      <c r="D30" s="80" t="s">
        <v>174</v>
      </c>
      <c r="E30" s="6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79" t="s">
        <v>175</v>
      </c>
      <c r="B31" s="56">
        <f>IF($B$32="","",(1-$B$32)*($B$44/($B$43+$B$44)))</f>
        <v>0.2285411313</v>
      </c>
      <c r="C31" s="69"/>
      <c r="E31" s="69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78" t="s">
        <v>176</v>
      </c>
      <c r="B32" s="81">
        <f>MAX(0.15,MIN(0.35,
IF($B$35&gt;0,
  0.25,
  0.25
)
))</f>
        <v>0.25</v>
      </c>
      <c r="C32" s="69"/>
      <c r="D32" s="56"/>
      <c r="E32" s="69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37" t="s">
        <v>177</v>
      </c>
      <c r="B33" s="56">
        <f>IF($B$32="","",$B$30+$B$31+$B$32)</f>
        <v>1</v>
      </c>
      <c r="C33" s="69"/>
      <c r="D33" s="69"/>
      <c r="E33" s="69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69"/>
      <c r="B34" s="69"/>
      <c r="C34" s="69"/>
      <c r="D34" s="69"/>
      <c r="E34" s="69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78" t="s">
        <v>178</v>
      </c>
      <c r="B35" s="69">
        <f>COUNTIFS(Matches!C:C,$B$3,Matches!D:D,$B$4,Matches!L:L,1)
+COUNTIFS(Matches!C:C,$B$4,Matches!D:D,$B$3,Matches!L:L,1)</f>
        <v>1</v>
      </c>
      <c r="C35" s="69"/>
      <c r="D35" s="69"/>
      <c r="E35" s="69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78" t="s">
        <v>179</v>
      </c>
      <c r="B36" s="69">
        <f>COUNTIFS(Matches!C:C,$B$3,Matches!D:D,$B$4,Matches!M:M,1)
+COUNTIFS(Matches!C:C,$B$4,Matches!D:D,$B$3,Matches!P:P,1)</f>
        <v>1</v>
      </c>
      <c r="C36" s="69">
        <f>COUNTIFS(Matches!C:C,$B$3,Matches!D:D,$B$4,Matches!P:P,1)
+COUNTIFS(Matches!C:C,$B$4,Matches!D:D,$B$3,Matches!M:M,1)</f>
        <v>0</v>
      </c>
      <c r="D36" s="69"/>
      <c r="E36" s="69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78" t="s">
        <v>180</v>
      </c>
      <c r="B37" s="69">
        <f>COUNTIFS(Matches!C:C,$B$3,Matches!D:D,$B$4,Matches!N:N,1)
+COUNTIFS(Matches!C:C,$B$4,Matches!D:D,$B$3,Matches!Q:Q,1)</f>
        <v>0</v>
      </c>
      <c r="C37" s="69"/>
      <c r="D37" s="69"/>
      <c r="E37" s="69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78" t="s">
        <v>181</v>
      </c>
      <c r="B38" s="69">
        <f>SUMIFS(Matches!H:H,Matches!C:C,$B$3,Matches!D:D,$B$4,Matches!L:L,1)
+SUMIFS(Matches!I:I,Matches!C:C,$B$4,Matches!D:D,$B$3,Matches!L:L,1)</f>
        <v>7</v>
      </c>
      <c r="C38" s="69">
        <f>SUMIFS(Matches!I:I,Matches!C:C,$B$3,Matches!D:D,$B$4,Matches!L:L,1)
+SUMIFS(Matches!H:H,Matches!C:C,$B$4,Matches!D:D,$B$3,Matches!L:L,1)</f>
        <v>2</v>
      </c>
      <c r="D38" s="69"/>
      <c r="E38" s="69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78" t="s">
        <v>182</v>
      </c>
      <c r="B39" s="69">
        <f>SUMIFS(Matches!I:I,Matches!C:C,$B$3,Matches!D:D,$B$4,Matches!L:L,1)
+SUMIFS(Matches!H:H,Matches!C:C,$B$4,Matches!D:D,$B$3,Matches!L:L,1)</f>
        <v>2</v>
      </c>
      <c r="C39" s="69">
        <f>SUMIFS(Matches!H:H,Matches!C:C,$B$3,Matches!D:D,$B$4,Matches!L:L,1)
+SUMIFS(Matches!I:I,Matches!C:C,$B$4,Matches!D:D,$B$3,Matches!L:L,1)</f>
        <v>7</v>
      </c>
      <c r="D39" s="69"/>
      <c r="E39" s="69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78" t="s">
        <v>183</v>
      </c>
      <c r="B40" s="69">
        <f>IF($B$35=0,"",
0.7*(100*((3*$B$36+$B$37)/(3*$B$35))) +
0.3*MAX(0,MIN(100,50+25*((($B$38-$B$39)/$B$35))))
)</f>
        <v>100</v>
      </c>
      <c r="C40" s="69">
        <f>IF($B$35=0,"",
0.7*(100*((3*$C$36+$B$37)/(3*$B$35))) +
0.3*MAX(0,MIN(100,50+25*((($C$38-$C$39)/$B$35))))
)</f>
        <v>0</v>
      </c>
      <c r="D40" s="69"/>
      <c r="E40" s="69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78" t="s">
        <v>184</v>
      </c>
      <c r="B41" s="69">
        <f>IF($B$3="","",
0.7*(100*((3*VLOOKUP($B$3,Stats!$A:$U,3,FALSE)+VLOOKUP($B$3,Stats!$A:$U,4,FALSE))/(3*VLOOKUP($B$3,Stats!$A:$U,2,FALSE)))) +
0.3*MAX(0,MIN(100,50+20*(VLOOKUP($B$3,Stats!$A:$U,8,FALSE)/VLOOKUP($B$3,Stats!$A:$U,2,FALSE))))
)</f>
        <v>80.0877193</v>
      </c>
      <c r="C41" s="69">
        <f>IF($B$4="","",
0.7*(100*((3*VLOOKUP($B$4,Stats!$A:$U,3,FALSE)+VLOOKUP($B$4,Stats!$A:$U,4,FALSE))/(3*VLOOKUP($B$4,Stats!$A:$U,2,FALSE)))) +
0.3*MAX(0,MIN(100,50+20*(VLOOKUP($B$4,Stats!$A:$U,8,FALSE)/VLOOKUP($B$4,Stats!$A:$U,2,FALSE))))
)</f>
        <v>59.35087719</v>
      </c>
      <c r="D41" s="69"/>
      <c r="E41" s="69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78" t="s">
        <v>185</v>
      </c>
      <c r="B42" s="69">
        <f>IF($B$3="","",IFERROR(VLOOKUP($B$3,Stats!$A:$W,23,FALSE),0))</f>
        <v>100</v>
      </c>
      <c r="C42" s="69">
        <f>IF($B$4="","",IFERROR(VLOOKUP($B$4,Stats!$A:$W,23,FALSE),0))</f>
        <v>80</v>
      </c>
      <c r="D42" s="69"/>
      <c r="E42" s="69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78" t="s">
        <v>186</v>
      </c>
      <c r="B43" s="69">
        <f>IF($B$35=0, 0.55*$B$41 + 0.45*$B$42, 0.4*$B$40 + 0.35*$B$41 + 0.25*$B$42)</f>
        <v>93.03070175</v>
      </c>
      <c r="C43" s="69"/>
      <c r="D43" s="69"/>
      <c r="E43" s="69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78" t="s">
        <v>187</v>
      </c>
      <c r="B44" s="69">
        <f>IF($B$35=0, 0.55*$C$41 + 0.45*$C$42, 0.4*$C$40 + 0.35*$C$41 + 0.25*$C$42)</f>
        <v>40.77280702</v>
      </c>
      <c r="C44" s="69"/>
      <c r="D44" s="69"/>
      <c r="E44" s="69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69"/>
      <c r="B45" s="69"/>
      <c r="C45" s="69"/>
      <c r="D45" s="69"/>
      <c r="E45" s="69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69"/>
      <c r="B46" s="69"/>
      <c r="C46" s="69"/>
      <c r="D46" s="69"/>
      <c r="E46" s="69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69"/>
      <c r="B47" s="69"/>
      <c r="C47" s="69"/>
      <c r="D47" s="69"/>
      <c r="E47" s="69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69"/>
      <c r="B48" s="69"/>
      <c r="C48" s="69"/>
      <c r="D48" s="69"/>
      <c r="E48" s="69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69"/>
      <c r="B49" s="69"/>
      <c r="C49" s="69"/>
      <c r="D49" s="69"/>
      <c r="E49" s="69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69"/>
      <c r="B50" s="69"/>
      <c r="C50" s="69"/>
      <c r="D50" s="69"/>
      <c r="E50" s="69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69"/>
      <c r="B51" s="69"/>
      <c r="C51" s="69"/>
      <c r="D51" s="69"/>
      <c r="E51" s="69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69"/>
      <c r="B52" s="69"/>
      <c r="C52" s="69"/>
      <c r="D52" s="69"/>
      <c r="E52" s="69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69"/>
      <c r="B53" s="69"/>
      <c r="C53" s="69"/>
      <c r="D53" s="69"/>
      <c r="E53" s="69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69"/>
      <c r="B54" s="69"/>
      <c r="C54" s="69"/>
      <c r="D54" s="69"/>
      <c r="E54" s="69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69"/>
      <c r="B55" s="69"/>
      <c r="C55" s="69"/>
      <c r="D55" s="69"/>
      <c r="E55" s="69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69"/>
      <c r="B56" s="69"/>
      <c r="C56" s="69"/>
      <c r="D56" s="69"/>
      <c r="E56" s="69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69"/>
      <c r="B57" s="69"/>
      <c r="C57" s="69"/>
      <c r="D57" s="69"/>
      <c r="E57" s="69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69"/>
      <c r="B58" s="69"/>
      <c r="C58" s="69"/>
      <c r="D58" s="69"/>
      <c r="E58" s="69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69"/>
      <c r="B59" s="69"/>
      <c r="C59" s="69"/>
      <c r="D59" s="69"/>
      <c r="E59" s="69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69"/>
      <c r="B60" s="69"/>
      <c r="C60" s="69"/>
      <c r="D60" s="69"/>
      <c r="E60" s="69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69"/>
      <c r="B61" s="69"/>
      <c r="C61" s="69"/>
      <c r="D61" s="69"/>
      <c r="E61" s="69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69"/>
      <c r="B62" s="69"/>
      <c r="C62" s="69"/>
      <c r="D62" s="69"/>
      <c r="E62" s="69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69"/>
      <c r="B63" s="69"/>
      <c r="C63" s="69"/>
      <c r="D63" s="69"/>
      <c r="E63" s="69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69"/>
      <c r="B64" s="69"/>
      <c r="C64" s="69"/>
      <c r="D64" s="69"/>
      <c r="E64" s="69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69"/>
      <c r="B65" s="69"/>
      <c r="C65" s="69"/>
      <c r="D65" s="69"/>
      <c r="E65" s="69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69"/>
      <c r="B66" s="69"/>
      <c r="C66" s="69"/>
      <c r="D66" s="69"/>
      <c r="E66" s="69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69"/>
      <c r="B67" s="69"/>
      <c r="C67" s="69"/>
      <c r="D67" s="69"/>
      <c r="E67" s="69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69"/>
      <c r="B68" s="69"/>
      <c r="C68" s="69"/>
      <c r="D68" s="69"/>
      <c r="E68" s="69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69"/>
      <c r="B69" s="69"/>
      <c r="C69" s="69"/>
      <c r="D69" s="69"/>
      <c r="E69" s="69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69"/>
      <c r="B70" s="69"/>
      <c r="C70" s="69"/>
      <c r="D70" s="69"/>
      <c r="E70" s="69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69"/>
      <c r="B71" s="69"/>
      <c r="C71" s="69"/>
      <c r="D71" s="69"/>
      <c r="E71" s="69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69"/>
      <c r="B72" s="69"/>
      <c r="C72" s="69"/>
      <c r="D72" s="69"/>
      <c r="E72" s="69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69"/>
      <c r="B73" s="69"/>
      <c r="C73" s="69"/>
      <c r="D73" s="69"/>
      <c r="E73" s="69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69"/>
      <c r="B74" s="69"/>
      <c r="C74" s="69"/>
      <c r="D74" s="69"/>
      <c r="E74" s="69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69"/>
      <c r="B75" s="69"/>
      <c r="C75" s="69"/>
      <c r="D75" s="69"/>
      <c r="E75" s="69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69"/>
      <c r="B76" s="69"/>
      <c r="C76" s="69"/>
      <c r="D76" s="69"/>
      <c r="E76" s="69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69"/>
      <c r="B77" s="69"/>
      <c r="C77" s="69"/>
      <c r="D77" s="69"/>
      <c r="E77" s="69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69"/>
      <c r="B78" s="69"/>
      <c r="C78" s="69"/>
      <c r="D78" s="69"/>
      <c r="E78" s="69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69"/>
      <c r="B79" s="69"/>
      <c r="C79" s="69"/>
      <c r="D79" s="69"/>
      <c r="E79" s="69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4">
    <mergeCell ref="A1:E1"/>
    <mergeCell ref="A6:E6"/>
    <mergeCell ref="A28:E28"/>
    <mergeCell ref="D30:D31"/>
  </mergeCells>
  <dataValidations>
    <dataValidation type="list" allowBlank="1" sqref="B3:B4">
      <formula1>Players!$B$3:$B$1000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86"/>
    <col customWidth="1" min="3" max="3" width="21.14"/>
  </cols>
  <sheetData>
    <row r="1">
      <c r="A1" s="82" t="s">
        <v>117</v>
      </c>
      <c r="B1" s="82" t="s">
        <v>141</v>
      </c>
      <c r="C1" s="82" t="s">
        <v>188</v>
      </c>
      <c r="D1" s="82" t="s">
        <v>19</v>
      </c>
      <c r="E1" s="82" t="s">
        <v>23</v>
      </c>
      <c r="F1" s="82" t="s">
        <v>189</v>
      </c>
      <c r="G1" s="82" t="s">
        <v>190</v>
      </c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>
      <c r="A2" s="84">
        <f>IFERROR(__xludf.DUMMYFUNCTION("QUERY(
  {
    Matches!B3:B1000, Matches!C3:C1000, Matches!D3:D1000, Matches!H3:H1000, Matches!I3:I1000, Matches!M3:M1000, Matches!J3:J1000;
    Matches!B3:B1000, Matches!D3:D1000, Matches!C3:C1000, Matches!I3:I1000, Matches!H3:H1000, Matches!P3:P1000, Ma"&amp;"tches!K3:K1000
  },
  ""select Col1,Col2,Col3,Col4,Col5,Col6,Col7 where Col2 is not null"",
  0
)"),46039.0)</f>
        <v>46039</v>
      </c>
      <c r="B2" s="59" t="str">
        <f>IFERROR(__xludf.DUMMYFUNCTION("""COMPUTED_VALUE"""),"ANIFE")</f>
        <v>ANIFE</v>
      </c>
      <c r="C2" s="59" t="str">
        <f>IFERROR(__xludf.DUMMYFUNCTION("""COMPUTED_VALUE"""),"MR OGA")</f>
        <v>MR OGA</v>
      </c>
      <c r="D2" s="59">
        <f>IFERROR(__xludf.DUMMYFUNCTION("""COMPUTED_VALUE"""),7.0)</f>
        <v>7</v>
      </c>
      <c r="E2" s="59">
        <f>IFERROR(__xludf.DUMMYFUNCTION("""COMPUTED_VALUE"""),7.0)</f>
        <v>7</v>
      </c>
      <c r="F2" s="59">
        <f>IFERROR(__xludf.DUMMYFUNCTION("""COMPUTED_VALUE"""),0.0)</f>
        <v>0</v>
      </c>
      <c r="G2" s="59">
        <f>IFERROR(__xludf.DUMMYFUNCTION("""COMPUTED_VALUE"""),1.0)</f>
        <v>1</v>
      </c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>
      <c r="A3" s="84">
        <f>IFERROR(__xludf.DUMMYFUNCTION("""COMPUTED_VALUE"""),46039.0)</f>
        <v>46039</v>
      </c>
      <c r="B3" s="59" t="str">
        <f>IFERROR(__xludf.DUMMYFUNCTION("""COMPUTED_VALUE"""),"RHYMEZ")</f>
        <v>RHYMEZ</v>
      </c>
      <c r="C3" s="59" t="str">
        <f>IFERROR(__xludf.DUMMYFUNCTION("""COMPUTED_VALUE"""),"SIMPLYY UZO")</f>
        <v>SIMPLYY UZO</v>
      </c>
      <c r="D3" s="59">
        <f>IFERROR(__xludf.DUMMYFUNCTION("""COMPUTED_VALUE"""),8.0)</f>
        <v>8</v>
      </c>
      <c r="E3" s="59">
        <f>IFERROR(__xludf.DUMMYFUNCTION("""COMPUTED_VALUE"""),2.0)</f>
        <v>2</v>
      </c>
      <c r="F3" s="59">
        <f>IFERROR(__xludf.DUMMYFUNCTION("""COMPUTED_VALUE"""),1.0)</f>
        <v>1</v>
      </c>
      <c r="G3" s="59">
        <f>IFERROR(__xludf.DUMMYFUNCTION("""COMPUTED_VALUE"""),3.0)</f>
        <v>3</v>
      </c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>
      <c r="A4" s="84">
        <f>IFERROR(__xludf.DUMMYFUNCTION("""COMPUTED_VALUE"""),46039.0)</f>
        <v>46039</v>
      </c>
      <c r="B4" s="59" t="str">
        <f>IFERROR(__xludf.DUMMYFUNCTION("""COMPUTED_VALUE"""),"GURU")</f>
        <v>GURU</v>
      </c>
      <c r="C4" s="59" t="str">
        <f>IFERROR(__xludf.DUMMYFUNCTION("""COMPUTED_VALUE"""),"BAJI SNR")</f>
        <v>BAJI SNR</v>
      </c>
      <c r="D4" s="59">
        <f>IFERROR(__xludf.DUMMYFUNCTION("""COMPUTED_VALUE"""),3.0)</f>
        <v>3</v>
      </c>
      <c r="E4" s="59">
        <f>IFERROR(__xludf.DUMMYFUNCTION("""COMPUTED_VALUE"""),5.0)</f>
        <v>5</v>
      </c>
      <c r="F4" s="59">
        <f>IFERROR(__xludf.DUMMYFUNCTION("""COMPUTED_VALUE"""),0.0)</f>
        <v>0</v>
      </c>
      <c r="G4" s="59">
        <f>IFERROR(__xludf.DUMMYFUNCTION("""COMPUTED_VALUE"""),0.0)</f>
        <v>0</v>
      </c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>
      <c r="A5" s="84">
        <f>IFERROR(__xludf.DUMMYFUNCTION("""COMPUTED_VALUE"""),46039.0)</f>
        <v>46039</v>
      </c>
      <c r="B5" s="59" t="str">
        <f>IFERROR(__xludf.DUMMYFUNCTION("""COMPUTED_VALUE"""),"GAMEWITHJOSH")</f>
        <v>GAMEWITHJOSH</v>
      </c>
      <c r="C5" s="59" t="str">
        <f>IFERROR(__xludf.DUMMYFUNCTION("""COMPUTED_VALUE"""),"BLAISE99")</f>
        <v>BLAISE99</v>
      </c>
      <c r="D5" s="59">
        <f>IFERROR(__xludf.DUMMYFUNCTION("""COMPUTED_VALUE"""),2.0)</f>
        <v>2</v>
      </c>
      <c r="E5" s="59">
        <f>IFERROR(__xludf.DUMMYFUNCTION("""COMPUTED_VALUE"""),10.0)</f>
        <v>10</v>
      </c>
      <c r="F5" s="59">
        <f>IFERROR(__xludf.DUMMYFUNCTION("""COMPUTED_VALUE"""),0.0)</f>
        <v>0</v>
      </c>
      <c r="G5" s="59">
        <f>IFERROR(__xludf.DUMMYFUNCTION("""COMPUTED_VALUE"""),0.0)</f>
        <v>0</v>
      </c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>
      <c r="A6" s="84">
        <f>IFERROR(__xludf.DUMMYFUNCTION("""COMPUTED_VALUE"""),46039.0)</f>
        <v>46039</v>
      </c>
      <c r="B6" s="59" t="str">
        <f>IFERROR(__xludf.DUMMYFUNCTION("""COMPUTED_VALUE"""),"TACTICAL")</f>
        <v>TACTICAL</v>
      </c>
      <c r="C6" s="59" t="str">
        <f>IFERROR(__xludf.DUMMYFUNCTION("""COMPUTED_VALUE"""),"KAYKAY")</f>
        <v>KAYKAY</v>
      </c>
      <c r="D6" s="59">
        <f>IFERROR(__xludf.DUMMYFUNCTION("""COMPUTED_VALUE"""),3.0)</f>
        <v>3</v>
      </c>
      <c r="E6" s="59">
        <f>IFERROR(__xludf.DUMMYFUNCTION("""COMPUTED_VALUE"""),7.0)</f>
        <v>7</v>
      </c>
      <c r="F6" s="59">
        <f>IFERROR(__xludf.DUMMYFUNCTION("""COMPUTED_VALUE"""),0.0)</f>
        <v>0</v>
      </c>
      <c r="G6" s="59">
        <f>IFERROR(__xludf.DUMMYFUNCTION("""COMPUTED_VALUE"""),0.0)</f>
        <v>0</v>
      </c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>
      <c r="A7" s="84">
        <f>IFERROR(__xludf.DUMMYFUNCTION("""COMPUTED_VALUE"""),46039.0)</f>
        <v>46039</v>
      </c>
      <c r="B7" s="59" t="str">
        <f>IFERROR(__xludf.DUMMYFUNCTION("""COMPUTED_VALUE"""),"SON OF GOD")</f>
        <v>SON OF GOD</v>
      </c>
      <c r="C7" s="59" t="str">
        <f>IFERROR(__xludf.DUMMYFUNCTION("""COMPUTED_VALUE"""),"DADABOI")</f>
        <v>DADABOI</v>
      </c>
      <c r="D7" s="59">
        <f>IFERROR(__xludf.DUMMYFUNCTION("""COMPUTED_VALUE"""),7.0)</f>
        <v>7</v>
      </c>
      <c r="E7" s="59">
        <f>IFERROR(__xludf.DUMMYFUNCTION("""COMPUTED_VALUE"""),0.0)</f>
        <v>0</v>
      </c>
      <c r="F7" s="59">
        <f>IFERROR(__xludf.DUMMYFUNCTION("""COMPUTED_VALUE"""),1.0)</f>
        <v>1</v>
      </c>
      <c r="G7" s="59">
        <f>IFERROR(__xludf.DUMMYFUNCTION("""COMPUTED_VALUE"""),3.0)</f>
        <v>3</v>
      </c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>
      <c r="A8" s="84">
        <f>IFERROR(__xludf.DUMMYFUNCTION("""COMPUTED_VALUE"""),46039.0)</f>
        <v>46039</v>
      </c>
      <c r="B8" s="59" t="str">
        <f>IFERROR(__xludf.DUMMYFUNCTION("""COMPUTED_VALUE"""),"KHALEEDOY")</f>
        <v>KHALEEDOY</v>
      </c>
      <c r="C8" s="59" t="str">
        <f>IFERROR(__xludf.DUMMYFUNCTION("""COMPUTED_VALUE"""),"WOLEVATION")</f>
        <v>WOLEVATION</v>
      </c>
      <c r="D8" s="59">
        <f>IFERROR(__xludf.DUMMYFUNCTION("""COMPUTED_VALUE"""),0.0)</f>
        <v>0</v>
      </c>
      <c r="E8" s="59">
        <f>IFERROR(__xludf.DUMMYFUNCTION("""COMPUTED_VALUE"""),3.0)</f>
        <v>3</v>
      </c>
      <c r="F8" s="59">
        <f>IFERROR(__xludf.DUMMYFUNCTION("""COMPUTED_VALUE"""),0.0)</f>
        <v>0</v>
      </c>
      <c r="G8" s="59">
        <f>IFERROR(__xludf.DUMMYFUNCTION("""COMPUTED_VALUE"""),0.0)</f>
        <v>0</v>
      </c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>
      <c r="A9" s="84">
        <f>IFERROR(__xludf.DUMMYFUNCTION("""COMPUTED_VALUE"""),46039.0)</f>
        <v>46039</v>
      </c>
      <c r="B9" s="59" t="str">
        <f>IFERROR(__xludf.DUMMYFUNCTION("""COMPUTED_VALUE"""),"FLICK")</f>
        <v>FLICK</v>
      </c>
      <c r="C9" s="59" t="str">
        <f>IFERROR(__xludf.DUMMYFUNCTION("""COMPUTED_VALUE"""),"DRACARYS")</f>
        <v>DRACARYS</v>
      </c>
      <c r="D9" s="59">
        <f>IFERROR(__xludf.DUMMYFUNCTION("""COMPUTED_VALUE"""),5.0)</f>
        <v>5</v>
      </c>
      <c r="E9" s="59">
        <f>IFERROR(__xludf.DUMMYFUNCTION("""COMPUTED_VALUE"""),5.0)</f>
        <v>5</v>
      </c>
      <c r="F9" s="59">
        <f>IFERROR(__xludf.DUMMYFUNCTION("""COMPUTED_VALUE"""),0.0)</f>
        <v>0</v>
      </c>
      <c r="G9" s="59">
        <f>IFERROR(__xludf.DUMMYFUNCTION("""COMPUTED_VALUE"""),1.0)</f>
        <v>1</v>
      </c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>
      <c r="A10" s="84">
        <f>IFERROR(__xludf.DUMMYFUNCTION("""COMPUTED_VALUE"""),46039.0)</f>
        <v>46039</v>
      </c>
      <c r="B10" s="59" t="str">
        <f>IFERROR(__xludf.DUMMYFUNCTION("""COMPUTED_VALUE"""),"KINGNONEX")</f>
        <v>KINGNONEX</v>
      </c>
      <c r="C10" s="59" t="str">
        <f>IFERROR(__xludf.DUMMYFUNCTION("""COMPUTED_VALUE"""),"BRIGHT")</f>
        <v>BRIGHT</v>
      </c>
      <c r="D10" s="59">
        <f>IFERROR(__xludf.DUMMYFUNCTION("""COMPUTED_VALUE"""),5.0)</f>
        <v>5</v>
      </c>
      <c r="E10" s="59">
        <f>IFERROR(__xludf.DUMMYFUNCTION("""COMPUTED_VALUE"""),1.0)</f>
        <v>1</v>
      </c>
      <c r="F10" s="59">
        <f>IFERROR(__xludf.DUMMYFUNCTION("""COMPUTED_VALUE"""),1.0)</f>
        <v>1</v>
      </c>
      <c r="G10" s="59">
        <f>IFERROR(__xludf.DUMMYFUNCTION("""COMPUTED_VALUE"""),3.0)</f>
        <v>3</v>
      </c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>
      <c r="A11" s="84">
        <f>IFERROR(__xludf.DUMMYFUNCTION("""COMPUTED_VALUE"""),46039.0)</f>
        <v>46039</v>
      </c>
      <c r="B11" s="59" t="str">
        <f>IFERROR(__xludf.DUMMYFUNCTION("""COMPUTED_VALUE"""),"BALO K")</f>
        <v>BALO K</v>
      </c>
      <c r="C11" s="59" t="str">
        <f>IFERROR(__xludf.DUMMYFUNCTION("""COMPUTED_VALUE"""),"YEMOLEE")</f>
        <v>YEMOLEE</v>
      </c>
      <c r="D11" s="59">
        <f>IFERROR(__xludf.DUMMYFUNCTION("""COMPUTED_VALUE"""),3.0)</f>
        <v>3</v>
      </c>
      <c r="E11" s="59">
        <f>IFERROR(__xludf.DUMMYFUNCTION("""COMPUTED_VALUE"""),5.0)</f>
        <v>5</v>
      </c>
      <c r="F11" s="59">
        <f>IFERROR(__xludf.DUMMYFUNCTION("""COMPUTED_VALUE"""),0.0)</f>
        <v>0</v>
      </c>
      <c r="G11" s="59">
        <f>IFERROR(__xludf.DUMMYFUNCTION("""COMPUTED_VALUE"""),0.0)</f>
        <v>0</v>
      </c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>
      <c r="A12" s="84">
        <f>IFERROR(__xludf.DUMMYFUNCTION("""COMPUTED_VALUE"""),46040.0)</f>
        <v>46040</v>
      </c>
      <c r="B12" s="59" t="str">
        <f>IFERROR(__xludf.DUMMYFUNCTION("""COMPUTED_VALUE"""),"BRIGHT")</f>
        <v>BRIGHT</v>
      </c>
      <c r="C12" s="59" t="str">
        <f>IFERROR(__xludf.DUMMYFUNCTION("""COMPUTED_VALUE"""),"YEMOLEE")</f>
        <v>YEMOLEE</v>
      </c>
      <c r="D12" s="59">
        <f>IFERROR(__xludf.DUMMYFUNCTION("""COMPUTED_VALUE"""),2.0)</f>
        <v>2</v>
      </c>
      <c r="E12" s="59">
        <f>IFERROR(__xludf.DUMMYFUNCTION("""COMPUTED_VALUE"""),2.0)</f>
        <v>2</v>
      </c>
      <c r="F12" s="59">
        <f>IFERROR(__xludf.DUMMYFUNCTION("""COMPUTED_VALUE"""),0.0)</f>
        <v>0</v>
      </c>
      <c r="G12" s="59">
        <f>IFERROR(__xludf.DUMMYFUNCTION("""COMPUTED_VALUE"""),1.0)</f>
        <v>1</v>
      </c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>
      <c r="A13" s="84">
        <f>IFERROR(__xludf.DUMMYFUNCTION("""COMPUTED_VALUE"""),46040.0)</f>
        <v>46040</v>
      </c>
      <c r="B13" s="59" t="str">
        <f>IFERROR(__xludf.DUMMYFUNCTION("""COMPUTED_VALUE"""),"RHYMEZ")</f>
        <v>RHYMEZ</v>
      </c>
      <c r="C13" s="59" t="str">
        <f>IFERROR(__xludf.DUMMYFUNCTION("""COMPUTED_VALUE"""),"TACTICAL")</f>
        <v>TACTICAL</v>
      </c>
      <c r="D13" s="59">
        <f>IFERROR(__xludf.DUMMYFUNCTION("""COMPUTED_VALUE"""),4.0)</f>
        <v>4</v>
      </c>
      <c r="E13" s="59">
        <f>IFERROR(__xludf.DUMMYFUNCTION("""COMPUTED_VALUE"""),3.0)</f>
        <v>3</v>
      </c>
      <c r="F13" s="59">
        <f>IFERROR(__xludf.DUMMYFUNCTION("""COMPUTED_VALUE"""),1.0)</f>
        <v>1</v>
      </c>
      <c r="G13" s="59">
        <f>IFERROR(__xludf.DUMMYFUNCTION("""COMPUTED_VALUE"""),3.0)</f>
        <v>3</v>
      </c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>
      <c r="A14" s="84">
        <f>IFERROR(__xludf.DUMMYFUNCTION("""COMPUTED_VALUE"""),46040.0)</f>
        <v>46040</v>
      </c>
      <c r="B14" s="59" t="str">
        <f>IFERROR(__xludf.DUMMYFUNCTION("""COMPUTED_VALUE"""),"BALO K")</f>
        <v>BALO K</v>
      </c>
      <c r="C14" s="59" t="str">
        <f>IFERROR(__xludf.DUMMYFUNCTION("""COMPUTED_VALUE"""),"MR OGA")</f>
        <v>MR OGA</v>
      </c>
      <c r="D14" s="59">
        <f>IFERROR(__xludf.DUMMYFUNCTION("""COMPUTED_VALUE"""),3.0)</f>
        <v>3</v>
      </c>
      <c r="E14" s="59">
        <f>IFERROR(__xludf.DUMMYFUNCTION("""COMPUTED_VALUE"""),0.0)</f>
        <v>0</v>
      </c>
      <c r="F14" s="59">
        <f>IFERROR(__xludf.DUMMYFUNCTION("""COMPUTED_VALUE"""),1.0)</f>
        <v>1</v>
      </c>
      <c r="G14" s="59">
        <f>IFERROR(__xludf.DUMMYFUNCTION("""COMPUTED_VALUE"""),3.0)</f>
        <v>3</v>
      </c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>
      <c r="A15" s="84">
        <f>IFERROR(__xludf.DUMMYFUNCTION("""COMPUTED_VALUE"""),46040.0)</f>
        <v>46040</v>
      </c>
      <c r="B15" s="59" t="str">
        <f>IFERROR(__xludf.DUMMYFUNCTION("""COMPUTED_VALUE"""),"DADABOI")</f>
        <v>DADABOI</v>
      </c>
      <c r="C15" s="59" t="str">
        <f>IFERROR(__xludf.DUMMYFUNCTION("""COMPUTED_VALUE"""),"KINGNONEX")</f>
        <v>KINGNONEX</v>
      </c>
      <c r="D15" s="59">
        <f>IFERROR(__xludf.DUMMYFUNCTION("""COMPUTED_VALUE"""),0.0)</f>
        <v>0</v>
      </c>
      <c r="E15" s="59">
        <f>IFERROR(__xludf.DUMMYFUNCTION("""COMPUTED_VALUE"""),10.0)</f>
        <v>10</v>
      </c>
      <c r="F15" s="59">
        <f>IFERROR(__xludf.DUMMYFUNCTION("""COMPUTED_VALUE"""),0.0)</f>
        <v>0</v>
      </c>
      <c r="G15" s="59">
        <f>IFERROR(__xludf.DUMMYFUNCTION("""COMPUTED_VALUE"""),0.0)</f>
        <v>0</v>
      </c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>
      <c r="A16" s="84">
        <f>IFERROR(__xludf.DUMMYFUNCTION("""COMPUTED_VALUE"""),46040.0)</f>
        <v>46040</v>
      </c>
      <c r="B16" s="59" t="str">
        <f>IFERROR(__xludf.DUMMYFUNCTION("""COMPUTED_VALUE"""),"GURU")</f>
        <v>GURU</v>
      </c>
      <c r="C16" s="59" t="str">
        <f>IFERROR(__xludf.DUMMYFUNCTION("""COMPUTED_VALUE"""),"ANIFE")</f>
        <v>ANIFE</v>
      </c>
      <c r="D16" s="59">
        <f>IFERROR(__xludf.DUMMYFUNCTION("""COMPUTED_VALUE"""),6.0)</f>
        <v>6</v>
      </c>
      <c r="E16" s="59">
        <f>IFERROR(__xludf.DUMMYFUNCTION("""COMPUTED_VALUE"""),4.0)</f>
        <v>4</v>
      </c>
      <c r="F16" s="59">
        <f>IFERROR(__xludf.DUMMYFUNCTION("""COMPUTED_VALUE"""),1.0)</f>
        <v>1</v>
      </c>
      <c r="G16" s="59">
        <f>IFERROR(__xludf.DUMMYFUNCTION("""COMPUTED_VALUE"""),3.0)</f>
        <v>3</v>
      </c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>
      <c r="A17" s="84">
        <f>IFERROR(__xludf.DUMMYFUNCTION("""COMPUTED_VALUE"""),46040.0)</f>
        <v>46040</v>
      </c>
      <c r="B17" s="59" t="str">
        <f>IFERROR(__xludf.DUMMYFUNCTION("""COMPUTED_VALUE"""),"WOLEVATION")</f>
        <v>WOLEVATION</v>
      </c>
      <c r="C17" s="59" t="str">
        <f>IFERROR(__xludf.DUMMYFUNCTION("""COMPUTED_VALUE"""),"BLAISE99")</f>
        <v>BLAISE99</v>
      </c>
      <c r="D17" s="59">
        <f>IFERROR(__xludf.DUMMYFUNCTION("""COMPUTED_VALUE"""),6.0)</f>
        <v>6</v>
      </c>
      <c r="E17" s="59">
        <f>IFERROR(__xludf.DUMMYFUNCTION("""COMPUTED_VALUE"""),4.0)</f>
        <v>4</v>
      </c>
      <c r="F17" s="59">
        <f>IFERROR(__xludf.DUMMYFUNCTION("""COMPUTED_VALUE"""),1.0)</f>
        <v>1</v>
      </c>
      <c r="G17" s="59">
        <f>IFERROR(__xludf.DUMMYFUNCTION("""COMPUTED_VALUE"""),3.0)</f>
        <v>3</v>
      </c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>
      <c r="A18" s="84">
        <f>IFERROR(__xludf.DUMMYFUNCTION("""COMPUTED_VALUE"""),46040.0)</f>
        <v>46040</v>
      </c>
      <c r="B18" s="59" t="str">
        <f>IFERROR(__xludf.DUMMYFUNCTION("""COMPUTED_VALUE"""),"FLICK")</f>
        <v>FLICK</v>
      </c>
      <c r="C18" s="59" t="str">
        <f>IFERROR(__xludf.DUMMYFUNCTION("""COMPUTED_VALUE"""),"SON OF GOD")</f>
        <v>SON OF GOD</v>
      </c>
      <c r="D18" s="59">
        <f>IFERROR(__xludf.DUMMYFUNCTION("""COMPUTED_VALUE"""),0.0)</f>
        <v>0</v>
      </c>
      <c r="E18" s="59">
        <f>IFERROR(__xludf.DUMMYFUNCTION("""COMPUTED_VALUE"""),6.0)</f>
        <v>6</v>
      </c>
      <c r="F18" s="59">
        <f>IFERROR(__xludf.DUMMYFUNCTION("""COMPUTED_VALUE"""),0.0)</f>
        <v>0</v>
      </c>
      <c r="G18" s="59">
        <f>IFERROR(__xludf.DUMMYFUNCTION("""COMPUTED_VALUE"""),0.0)</f>
        <v>0</v>
      </c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>
      <c r="A19" s="84">
        <f>IFERROR(__xludf.DUMMYFUNCTION("""COMPUTED_VALUE"""),46040.0)</f>
        <v>46040</v>
      </c>
      <c r="B19" s="59" t="str">
        <f>IFERROR(__xludf.DUMMYFUNCTION("""COMPUTED_VALUE"""),"GAMEWITHJOSH")</f>
        <v>GAMEWITHJOSH</v>
      </c>
      <c r="C19" s="59" t="str">
        <f>IFERROR(__xludf.DUMMYFUNCTION("""COMPUTED_VALUE"""),"BALO K")</f>
        <v>BALO K</v>
      </c>
      <c r="D19" s="59">
        <f>IFERROR(__xludf.DUMMYFUNCTION("""COMPUTED_VALUE"""),7.0)</f>
        <v>7</v>
      </c>
      <c r="E19" s="59">
        <f>IFERROR(__xludf.DUMMYFUNCTION("""COMPUTED_VALUE"""),5.0)</f>
        <v>5</v>
      </c>
      <c r="F19" s="59">
        <f>IFERROR(__xludf.DUMMYFUNCTION("""COMPUTED_VALUE"""),1.0)</f>
        <v>1</v>
      </c>
      <c r="G19" s="59">
        <f>IFERROR(__xludf.DUMMYFUNCTION("""COMPUTED_VALUE"""),3.0)</f>
        <v>3</v>
      </c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>
      <c r="A20" s="84">
        <f>IFERROR(__xludf.DUMMYFUNCTION("""COMPUTED_VALUE"""),46040.0)</f>
        <v>46040</v>
      </c>
      <c r="B20" s="59" t="str">
        <f>IFERROR(__xludf.DUMMYFUNCTION("""COMPUTED_VALUE"""),"YEMOLEE")</f>
        <v>YEMOLEE</v>
      </c>
      <c r="C20" s="59" t="str">
        <f>IFERROR(__xludf.DUMMYFUNCTION("""COMPUTED_VALUE"""),"BAJI SNR")</f>
        <v>BAJI SNR</v>
      </c>
      <c r="D20" s="59">
        <f>IFERROR(__xludf.DUMMYFUNCTION("""COMPUTED_VALUE"""),6.0)</f>
        <v>6</v>
      </c>
      <c r="E20" s="59">
        <f>IFERROR(__xludf.DUMMYFUNCTION("""COMPUTED_VALUE"""),1.0)</f>
        <v>1</v>
      </c>
      <c r="F20" s="59">
        <f>IFERROR(__xludf.DUMMYFUNCTION("""COMPUTED_VALUE"""),1.0)</f>
        <v>1</v>
      </c>
      <c r="G20" s="59">
        <f>IFERROR(__xludf.DUMMYFUNCTION("""COMPUTED_VALUE"""),3.0)</f>
        <v>3</v>
      </c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>
      <c r="A21" s="84">
        <f>IFERROR(__xludf.DUMMYFUNCTION("""COMPUTED_VALUE"""),46040.0)</f>
        <v>46040</v>
      </c>
      <c r="B21" s="59" t="str">
        <f>IFERROR(__xludf.DUMMYFUNCTION("""COMPUTED_VALUE"""),"BRIGHT")</f>
        <v>BRIGHT</v>
      </c>
      <c r="C21" s="59" t="str">
        <f>IFERROR(__xludf.DUMMYFUNCTION("""COMPUTED_VALUE"""),"DRACARYS")</f>
        <v>DRACARYS</v>
      </c>
      <c r="D21" s="59">
        <f>IFERROR(__xludf.DUMMYFUNCTION("""COMPUTED_VALUE"""),4.0)</f>
        <v>4</v>
      </c>
      <c r="E21" s="59">
        <f>IFERROR(__xludf.DUMMYFUNCTION("""COMPUTED_VALUE"""),7.0)</f>
        <v>7</v>
      </c>
      <c r="F21" s="59">
        <f>IFERROR(__xludf.DUMMYFUNCTION("""COMPUTED_VALUE"""),0.0)</f>
        <v>0</v>
      </c>
      <c r="G21" s="59">
        <f>IFERROR(__xludf.DUMMYFUNCTION("""COMPUTED_VALUE"""),0.0)</f>
        <v>0</v>
      </c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>
      <c r="A22" s="84">
        <f>IFERROR(__xludf.DUMMYFUNCTION("""COMPUTED_VALUE"""),46040.0)</f>
        <v>46040</v>
      </c>
      <c r="B22" s="59" t="str">
        <f>IFERROR(__xludf.DUMMYFUNCTION("""COMPUTED_VALUE"""),"TACTICAL")</f>
        <v>TACTICAL</v>
      </c>
      <c r="C22" s="59" t="str">
        <f>IFERROR(__xludf.DUMMYFUNCTION("""COMPUTED_VALUE"""),"WOLEVATION")</f>
        <v>WOLEVATION</v>
      </c>
      <c r="D22" s="59">
        <f>IFERROR(__xludf.DUMMYFUNCTION("""COMPUTED_VALUE"""),3.0)</f>
        <v>3</v>
      </c>
      <c r="E22" s="59">
        <f>IFERROR(__xludf.DUMMYFUNCTION("""COMPUTED_VALUE"""),7.0)</f>
        <v>7</v>
      </c>
      <c r="F22" s="59">
        <f>IFERROR(__xludf.DUMMYFUNCTION("""COMPUTED_VALUE"""),0.0)</f>
        <v>0</v>
      </c>
      <c r="G22" s="59">
        <f>IFERROR(__xludf.DUMMYFUNCTION("""COMPUTED_VALUE"""),0.0)</f>
        <v>0</v>
      </c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>
      <c r="A23" s="84">
        <f>IFERROR(__xludf.DUMMYFUNCTION("""COMPUTED_VALUE"""),46040.0)</f>
        <v>46040</v>
      </c>
      <c r="B23" s="59" t="str">
        <f>IFERROR(__xludf.DUMMYFUNCTION("""COMPUTED_VALUE"""),"SIMPLYY UZO")</f>
        <v>SIMPLYY UZO</v>
      </c>
      <c r="C23" s="59" t="str">
        <f>IFERROR(__xludf.DUMMYFUNCTION("""COMPUTED_VALUE"""),"KINGNONEX")</f>
        <v>KINGNONEX</v>
      </c>
      <c r="D23" s="59">
        <f>IFERROR(__xludf.DUMMYFUNCTION("""COMPUTED_VALUE"""),1.0)</f>
        <v>1</v>
      </c>
      <c r="E23" s="59">
        <f>IFERROR(__xludf.DUMMYFUNCTION("""COMPUTED_VALUE"""),6.0)</f>
        <v>6</v>
      </c>
      <c r="F23" s="59">
        <f>IFERROR(__xludf.DUMMYFUNCTION("""COMPUTED_VALUE"""),0.0)</f>
        <v>0</v>
      </c>
      <c r="G23" s="59">
        <f>IFERROR(__xludf.DUMMYFUNCTION("""COMPUTED_VALUE"""),0.0)</f>
        <v>0</v>
      </c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>
      <c r="A24" s="84">
        <f>IFERROR(__xludf.DUMMYFUNCTION("""COMPUTED_VALUE"""),46040.0)</f>
        <v>46040</v>
      </c>
      <c r="B24" s="59" t="str">
        <f>IFERROR(__xludf.DUMMYFUNCTION("""COMPUTED_VALUE"""),"KAYKAY")</f>
        <v>KAYKAY</v>
      </c>
      <c r="C24" s="59" t="str">
        <f>IFERROR(__xludf.DUMMYFUNCTION("""COMPUTED_VALUE"""),"DRACARYS")</f>
        <v>DRACARYS</v>
      </c>
      <c r="D24" s="59">
        <f>IFERROR(__xludf.DUMMYFUNCTION("""COMPUTED_VALUE"""),5.0)</f>
        <v>5</v>
      </c>
      <c r="E24" s="59">
        <f>IFERROR(__xludf.DUMMYFUNCTION("""COMPUTED_VALUE"""),4.0)</f>
        <v>4</v>
      </c>
      <c r="F24" s="59">
        <f>IFERROR(__xludf.DUMMYFUNCTION("""COMPUTED_VALUE"""),1.0)</f>
        <v>1</v>
      </c>
      <c r="G24" s="59">
        <f>IFERROR(__xludf.DUMMYFUNCTION("""COMPUTED_VALUE"""),3.0)</f>
        <v>3</v>
      </c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>
      <c r="A25" s="84">
        <f>IFERROR(__xludf.DUMMYFUNCTION("""COMPUTED_VALUE"""),46040.0)</f>
        <v>46040</v>
      </c>
      <c r="B25" s="59" t="str">
        <f>IFERROR(__xludf.DUMMYFUNCTION("""COMPUTED_VALUE"""),"KHALEEDOY")</f>
        <v>KHALEEDOY</v>
      </c>
      <c r="C25" s="59" t="str">
        <f>IFERROR(__xludf.DUMMYFUNCTION("""COMPUTED_VALUE"""),"GURU")</f>
        <v>GURU</v>
      </c>
      <c r="D25" s="59">
        <f>IFERROR(__xludf.DUMMYFUNCTION("""COMPUTED_VALUE"""),2.0)</f>
        <v>2</v>
      </c>
      <c r="E25" s="59">
        <f>IFERROR(__xludf.DUMMYFUNCTION("""COMPUTED_VALUE"""),5.0)</f>
        <v>5</v>
      </c>
      <c r="F25" s="59">
        <f>IFERROR(__xludf.DUMMYFUNCTION("""COMPUTED_VALUE"""),0.0)</f>
        <v>0</v>
      </c>
      <c r="G25" s="59">
        <f>IFERROR(__xludf.DUMMYFUNCTION("""COMPUTED_VALUE"""),0.0)</f>
        <v>0</v>
      </c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>
      <c r="A26" s="84">
        <f>IFERROR(__xludf.DUMMYFUNCTION("""COMPUTED_VALUE"""),46046.0)</f>
        <v>46046</v>
      </c>
      <c r="B26" s="59" t="str">
        <f>IFERROR(__xludf.DUMMYFUNCTION("""COMPUTED_VALUE"""),"BAJI SNR")</f>
        <v>BAJI SNR</v>
      </c>
      <c r="C26" s="59" t="str">
        <f>IFERROR(__xludf.DUMMYFUNCTION("""COMPUTED_VALUE"""),"ANIFE")</f>
        <v>ANIFE</v>
      </c>
      <c r="D26" s="59">
        <f>IFERROR(__xludf.DUMMYFUNCTION("""COMPUTED_VALUE"""),3.0)</f>
        <v>3</v>
      </c>
      <c r="E26" s="59">
        <f>IFERROR(__xludf.DUMMYFUNCTION("""COMPUTED_VALUE"""),5.0)</f>
        <v>5</v>
      </c>
      <c r="F26" s="59">
        <f>IFERROR(__xludf.DUMMYFUNCTION("""COMPUTED_VALUE"""),0.0)</f>
        <v>0</v>
      </c>
      <c r="G26" s="59">
        <f>IFERROR(__xludf.DUMMYFUNCTION("""COMPUTED_VALUE"""),0.0)</f>
        <v>0</v>
      </c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>
      <c r="A27" s="84">
        <f>IFERROR(__xludf.DUMMYFUNCTION("""COMPUTED_VALUE"""),46046.0)</f>
        <v>46046</v>
      </c>
      <c r="B27" s="59" t="str">
        <f>IFERROR(__xludf.DUMMYFUNCTION("""COMPUTED_VALUE"""),"BRIGHT")</f>
        <v>BRIGHT</v>
      </c>
      <c r="C27" s="59" t="str">
        <f>IFERROR(__xludf.DUMMYFUNCTION("""COMPUTED_VALUE"""),"BLAISE99")</f>
        <v>BLAISE99</v>
      </c>
      <c r="D27" s="59">
        <f>IFERROR(__xludf.DUMMYFUNCTION("""COMPUTED_VALUE"""),5.0)</f>
        <v>5</v>
      </c>
      <c r="E27" s="59">
        <f>IFERROR(__xludf.DUMMYFUNCTION("""COMPUTED_VALUE"""),4.0)</f>
        <v>4</v>
      </c>
      <c r="F27" s="59">
        <f>IFERROR(__xludf.DUMMYFUNCTION("""COMPUTED_VALUE"""),1.0)</f>
        <v>1</v>
      </c>
      <c r="G27" s="59">
        <f>IFERROR(__xludf.DUMMYFUNCTION("""COMPUTED_VALUE"""),3.0)</f>
        <v>3</v>
      </c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>
      <c r="A28" s="84">
        <f>IFERROR(__xludf.DUMMYFUNCTION("""COMPUTED_VALUE"""),46046.0)</f>
        <v>46046</v>
      </c>
      <c r="B28" s="59" t="str">
        <f>IFERROR(__xludf.DUMMYFUNCTION("""COMPUTED_VALUE"""),"KAYKAY")</f>
        <v>KAYKAY</v>
      </c>
      <c r="C28" s="59" t="str">
        <f>IFERROR(__xludf.DUMMYFUNCTION("""COMPUTED_VALUE"""),"GAMEWITHJOSH")</f>
        <v>GAMEWITHJOSH</v>
      </c>
      <c r="D28" s="59">
        <f>IFERROR(__xludf.DUMMYFUNCTION("""COMPUTED_VALUE"""),7.0)</f>
        <v>7</v>
      </c>
      <c r="E28" s="59">
        <f>IFERROR(__xludf.DUMMYFUNCTION("""COMPUTED_VALUE"""),7.0)</f>
        <v>7</v>
      </c>
      <c r="F28" s="59">
        <f>IFERROR(__xludf.DUMMYFUNCTION("""COMPUTED_VALUE"""),0.0)</f>
        <v>0</v>
      </c>
      <c r="G28" s="59">
        <f>IFERROR(__xludf.DUMMYFUNCTION("""COMPUTED_VALUE"""),1.0)</f>
        <v>1</v>
      </c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>
      <c r="A29" s="84">
        <f>IFERROR(__xludf.DUMMYFUNCTION("""COMPUTED_VALUE"""),46046.0)</f>
        <v>46046</v>
      </c>
      <c r="B29" s="59" t="str">
        <f>IFERROR(__xludf.DUMMYFUNCTION("""COMPUTED_VALUE"""),"FLICK")</f>
        <v>FLICK</v>
      </c>
      <c r="C29" s="59" t="str">
        <f>IFERROR(__xludf.DUMMYFUNCTION("""COMPUTED_VALUE"""),"WOLEVATION")</f>
        <v>WOLEVATION</v>
      </c>
      <c r="D29" s="59">
        <f>IFERROR(__xludf.DUMMYFUNCTION("""COMPUTED_VALUE"""),3.0)</f>
        <v>3</v>
      </c>
      <c r="E29" s="59">
        <f>IFERROR(__xludf.DUMMYFUNCTION("""COMPUTED_VALUE"""),4.0)</f>
        <v>4</v>
      </c>
      <c r="F29" s="59">
        <f>IFERROR(__xludf.DUMMYFUNCTION("""COMPUTED_VALUE"""),0.0)</f>
        <v>0</v>
      </c>
      <c r="G29" s="59">
        <f>IFERROR(__xludf.DUMMYFUNCTION("""COMPUTED_VALUE"""),0.0)</f>
        <v>0</v>
      </c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>
      <c r="A30" s="84">
        <f>IFERROR(__xludf.DUMMYFUNCTION("""COMPUTED_VALUE"""),46046.0)</f>
        <v>46046</v>
      </c>
      <c r="B30" s="59" t="str">
        <f>IFERROR(__xludf.DUMMYFUNCTION("""COMPUTED_VALUE"""),"DADABOI")</f>
        <v>DADABOI</v>
      </c>
      <c r="C30" s="59" t="str">
        <f>IFERROR(__xludf.DUMMYFUNCTION("""COMPUTED_VALUE"""),"SIMPLYY UZO")</f>
        <v>SIMPLYY UZO</v>
      </c>
      <c r="D30" s="59">
        <f>IFERROR(__xludf.DUMMYFUNCTION("""COMPUTED_VALUE"""),7.0)</f>
        <v>7</v>
      </c>
      <c r="E30" s="59">
        <f>IFERROR(__xludf.DUMMYFUNCTION("""COMPUTED_VALUE"""),4.0)</f>
        <v>4</v>
      </c>
      <c r="F30" s="59">
        <f>IFERROR(__xludf.DUMMYFUNCTION("""COMPUTED_VALUE"""),1.0)</f>
        <v>1</v>
      </c>
      <c r="G30" s="59">
        <f>IFERROR(__xludf.DUMMYFUNCTION("""COMPUTED_VALUE"""),3.0)</f>
        <v>3</v>
      </c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>
      <c r="A31" s="84">
        <f>IFERROR(__xludf.DUMMYFUNCTION("""COMPUTED_VALUE"""),46046.0)</f>
        <v>46046</v>
      </c>
      <c r="B31" s="59" t="str">
        <f>IFERROR(__xludf.DUMMYFUNCTION("""COMPUTED_VALUE"""),"KINGNONEX")</f>
        <v>KINGNONEX</v>
      </c>
      <c r="C31" s="59" t="str">
        <f>IFERROR(__xludf.DUMMYFUNCTION("""COMPUTED_VALUE"""),"KHALEEDOY")</f>
        <v>KHALEEDOY</v>
      </c>
      <c r="D31" s="59">
        <f>IFERROR(__xludf.DUMMYFUNCTION("""COMPUTED_VALUE"""),2.0)</f>
        <v>2</v>
      </c>
      <c r="E31" s="59">
        <f>IFERROR(__xludf.DUMMYFUNCTION("""COMPUTED_VALUE"""),1.0)</f>
        <v>1</v>
      </c>
      <c r="F31" s="59">
        <f>IFERROR(__xludf.DUMMYFUNCTION("""COMPUTED_VALUE"""),1.0)</f>
        <v>1</v>
      </c>
      <c r="G31" s="59">
        <f>IFERROR(__xludf.DUMMYFUNCTION("""COMPUTED_VALUE"""),3.0)</f>
        <v>3</v>
      </c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>
      <c r="A32" s="84">
        <f>IFERROR(__xludf.DUMMYFUNCTION("""COMPUTED_VALUE"""),46046.0)</f>
        <v>46046</v>
      </c>
      <c r="B32" s="59" t="str">
        <f>IFERROR(__xludf.DUMMYFUNCTION("""COMPUTED_VALUE"""),"DRACARYS")</f>
        <v>DRACARYS</v>
      </c>
      <c r="C32" s="59" t="str">
        <f>IFERROR(__xludf.DUMMYFUNCTION("""COMPUTED_VALUE"""),"YEMOLEE")</f>
        <v>YEMOLEE</v>
      </c>
      <c r="D32" s="59">
        <f>IFERROR(__xludf.DUMMYFUNCTION("""COMPUTED_VALUE"""),3.0)</f>
        <v>3</v>
      </c>
      <c r="E32" s="59">
        <f>IFERROR(__xludf.DUMMYFUNCTION("""COMPUTED_VALUE"""),3.0)</f>
        <v>3</v>
      </c>
      <c r="F32" s="59">
        <f>IFERROR(__xludf.DUMMYFUNCTION("""COMPUTED_VALUE"""),0.0)</f>
        <v>0</v>
      </c>
      <c r="G32" s="59">
        <f>IFERROR(__xludf.DUMMYFUNCTION("""COMPUTED_VALUE"""),1.0)</f>
        <v>1</v>
      </c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>
      <c r="A33" s="84">
        <f>IFERROR(__xludf.DUMMYFUNCTION("""COMPUTED_VALUE"""),46046.0)</f>
        <v>46046</v>
      </c>
      <c r="B33" s="59" t="str">
        <f>IFERROR(__xludf.DUMMYFUNCTION("""COMPUTED_VALUE"""),"SON OF GOD")</f>
        <v>SON OF GOD</v>
      </c>
      <c r="C33" s="59" t="str">
        <f>IFERROR(__xludf.DUMMYFUNCTION("""COMPUTED_VALUE"""),"GURU")</f>
        <v>GURU</v>
      </c>
      <c r="D33" s="59">
        <f>IFERROR(__xludf.DUMMYFUNCTION("""COMPUTED_VALUE"""),2.0)</f>
        <v>2</v>
      </c>
      <c r="E33" s="59">
        <f>IFERROR(__xludf.DUMMYFUNCTION("""COMPUTED_VALUE"""),7.0)</f>
        <v>7</v>
      </c>
      <c r="F33" s="59">
        <f>IFERROR(__xludf.DUMMYFUNCTION("""COMPUTED_VALUE"""),0.0)</f>
        <v>0</v>
      </c>
      <c r="G33" s="59">
        <f>IFERROR(__xludf.DUMMYFUNCTION("""COMPUTED_VALUE"""),0.0)</f>
        <v>0</v>
      </c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>
      <c r="A34" s="84">
        <f>IFERROR(__xludf.DUMMYFUNCTION("""COMPUTED_VALUE"""),46046.0)</f>
        <v>46046</v>
      </c>
      <c r="B34" s="59" t="str">
        <f>IFERROR(__xludf.DUMMYFUNCTION("""COMPUTED_VALUE"""),"TACTICAL")</f>
        <v>TACTICAL</v>
      </c>
      <c r="C34" s="59" t="str">
        <f>IFERROR(__xludf.DUMMYFUNCTION("""COMPUTED_VALUE"""),"BALO K")</f>
        <v>BALO K</v>
      </c>
      <c r="D34" s="59">
        <f>IFERROR(__xludf.DUMMYFUNCTION("""COMPUTED_VALUE"""),3.0)</f>
        <v>3</v>
      </c>
      <c r="E34" s="59">
        <f>IFERROR(__xludf.DUMMYFUNCTION("""COMPUTED_VALUE"""),2.0)</f>
        <v>2</v>
      </c>
      <c r="F34" s="59">
        <f>IFERROR(__xludf.DUMMYFUNCTION("""COMPUTED_VALUE"""),1.0)</f>
        <v>1</v>
      </c>
      <c r="G34" s="59">
        <f>IFERROR(__xludf.DUMMYFUNCTION("""COMPUTED_VALUE"""),3.0)</f>
        <v>3</v>
      </c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>
      <c r="A35" s="84">
        <f>IFERROR(__xludf.DUMMYFUNCTION("""COMPUTED_VALUE"""),46046.0)</f>
        <v>46046</v>
      </c>
      <c r="B35" s="59" t="str">
        <f>IFERROR(__xludf.DUMMYFUNCTION("""COMPUTED_VALUE"""),"GAMEWITHJOSH")</f>
        <v>GAMEWITHJOSH</v>
      </c>
      <c r="C35" s="59" t="str">
        <f>IFERROR(__xludf.DUMMYFUNCTION("""COMPUTED_VALUE"""),"DADABOI")</f>
        <v>DADABOI</v>
      </c>
      <c r="D35" s="59">
        <f>IFERROR(__xludf.DUMMYFUNCTION("""COMPUTED_VALUE"""),4.0)</f>
        <v>4</v>
      </c>
      <c r="E35" s="59">
        <f>IFERROR(__xludf.DUMMYFUNCTION("""COMPUTED_VALUE"""),5.0)</f>
        <v>5</v>
      </c>
      <c r="F35" s="59">
        <f>IFERROR(__xludf.DUMMYFUNCTION("""COMPUTED_VALUE"""),0.0)</f>
        <v>0</v>
      </c>
      <c r="G35" s="59">
        <f>IFERROR(__xludf.DUMMYFUNCTION("""COMPUTED_VALUE"""),0.0)</f>
        <v>0</v>
      </c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>
      <c r="A36" s="84">
        <f>IFERROR(__xludf.DUMMYFUNCTION("""COMPUTED_VALUE"""),46046.0)</f>
        <v>46046</v>
      </c>
      <c r="B36" s="59" t="str">
        <f>IFERROR(__xludf.DUMMYFUNCTION("""COMPUTED_VALUE"""),"BLAISE99")</f>
        <v>BLAISE99</v>
      </c>
      <c r="C36" s="59" t="str">
        <f>IFERROR(__xludf.DUMMYFUNCTION("""COMPUTED_VALUE"""),"BAJI SNR")</f>
        <v>BAJI SNR</v>
      </c>
      <c r="D36" s="59">
        <f>IFERROR(__xludf.DUMMYFUNCTION("""COMPUTED_VALUE"""),6.0)</f>
        <v>6</v>
      </c>
      <c r="E36" s="59">
        <f>IFERROR(__xludf.DUMMYFUNCTION("""COMPUTED_VALUE"""),3.0)</f>
        <v>3</v>
      </c>
      <c r="F36" s="59">
        <f>IFERROR(__xludf.DUMMYFUNCTION("""COMPUTED_VALUE"""),1.0)</f>
        <v>1</v>
      </c>
      <c r="G36" s="59">
        <f>IFERROR(__xludf.DUMMYFUNCTION("""COMPUTED_VALUE"""),3.0)</f>
        <v>3</v>
      </c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>
      <c r="A37" s="84">
        <f>IFERROR(__xludf.DUMMYFUNCTION("""COMPUTED_VALUE"""),46046.0)</f>
        <v>46046</v>
      </c>
      <c r="B37" s="59" t="str">
        <f>IFERROR(__xludf.DUMMYFUNCTION("""COMPUTED_VALUE"""),"WOLEVATION")</f>
        <v>WOLEVATION</v>
      </c>
      <c r="C37" s="59" t="str">
        <f>IFERROR(__xludf.DUMMYFUNCTION("""COMPUTED_VALUE"""),"DRACARYS")</f>
        <v>DRACARYS</v>
      </c>
      <c r="D37" s="59">
        <f>IFERROR(__xludf.DUMMYFUNCTION("""COMPUTED_VALUE"""),4.0)</f>
        <v>4</v>
      </c>
      <c r="E37" s="59">
        <f>IFERROR(__xludf.DUMMYFUNCTION("""COMPUTED_VALUE"""),3.0)</f>
        <v>3</v>
      </c>
      <c r="F37" s="59">
        <f>IFERROR(__xludf.DUMMYFUNCTION("""COMPUTED_VALUE"""),1.0)</f>
        <v>1</v>
      </c>
      <c r="G37" s="59">
        <f>IFERROR(__xludf.DUMMYFUNCTION("""COMPUTED_VALUE"""),3.0)</f>
        <v>3</v>
      </c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>
      <c r="A38" s="84">
        <f>IFERROR(__xludf.DUMMYFUNCTION("""COMPUTED_VALUE"""),46046.0)</f>
        <v>46046</v>
      </c>
      <c r="B38" s="59" t="str">
        <f>IFERROR(__xludf.DUMMYFUNCTION("""COMPUTED_VALUE"""),"ANIFE")</f>
        <v>ANIFE</v>
      </c>
      <c r="C38" s="59" t="str">
        <f>IFERROR(__xludf.DUMMYFUNCTION("""COMPUTED_VALUE"""),"BRIGHT")</f>
        <v>BRIGHT</v>
      </c>
      <c r="D38" s="59">
        <f>IFERROR(__xludf.DUMMYFUNCTION("""COMPUTED_VALUE"""),6.0)</f>
        <v>6</v>
      </c>
      <c r="E38" s="59">
        <f>IFERROR(__xludf.DUMMYFUNCTION("""COMPUTED_VALUE"""),3.0)</f>
        <v>3</v>
      </c>
      <c r="F38" s="59">
        <f>IFERROR(__xludf.DUMMYFUNCTION("""COMPUTED_VALUE"""),1.0)</f>
        <v>1</v>
      </c>
      <c r="G38" s="59">
        <f>IFERROR(__xludf.DUMMYFUNCTION("""COMPUTED_VALUE"""),3.0)</f>
        <v>3</v>
      </c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>
      <c r="A39" s="84">
        <f>IFERROR(__xludf.DUMMYFUNCTION("""COMPUTED_VALUE"""),46046.0)</f>
        <v>46046</v>
      </c>
      <c r="B39" s="59" t="str">
        <f>IFERROR(__xludf.DUMMYFUNCTION("""COMPUTED_VALUE"""),"SIMPLYY UZO")</f>
        <v>SIMPLYY UZO</v>
      </c>
      <c r="C39" s="59" t="str">
        <f>IFERROR(__xludf.DUMMYFUNCTION("""COMPUTED_VALUE"""),"KAYKAY")</f>
        <v>KAYKAY</v>
      </c>
      <c r="D39" s="59">
        <f>IFERROR(__xludf.DUMMYFUNCTION("""COMPUTED_VALUE"""),0.0)</f>
        <v>0</v>
      </c>
      <c r="E39" s="59">
        <f>IFERROR(__xludf.DUMMYFUNCTION("""COMPUTED_VALUE"""),3.0)</f>
        <v>3</v>
      </c>
      <c r="F39" s="59">
        <f>IFERROR(__xludf.DUMMYFUNCTION("""COMPUTED_VALUE"""),0.0)</f>
        <v>0</v>
      </c>
      <c r="G39" s="59">
        <f>IFERROR(__xludf.DUMMYFUNCTION("""COMPUTED_VALUE"""),0.0)</f>
        <v>0</v>
      </c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>
      <c r="A40" s="84">
        <f>IFERROR(__xludf.DUMMYFUNCTION("""COMPUTED_VALUE"""),46046.0)</f>
        <v>46046</v>
      </c>
      <c r="B40" s="59" t="str">
        <f>IFERROR(__xludf.DUMMYFUNCTION("""COMPUTED_VALUE"""),"KHALEEDOY")</f>
        <v>KHALEEDOY</v>
      </c>
      <c r="C40" s="59" t="str">
        <f>IFERROR(__xludf.DUMMYFUNCTION("""COMPUTED_VALUE"""),"SON OF GOD")</f>
        <v>SON OF GOD</v>
      </c>
      <c r="D40" s="59">
        <f>IFERROR(__xludf.DUMMYFUNCTION("""COMPUTED_VALUE"""),6.0)</f>
        <v>6</v>
      </c>
      <c r="E40" s="59">
        <f>IFERROR(__xludf.DUMMYFUNCTION("""COMPUTED_VALUE"""),6.0)</f>
        <v>6</v>
      </c>
      <c r="F40" s="59">
        <f>IFERROR(__xludf.DUMMYFUNCTION("""COMPUTED_VALUE"""),0.0)</f>
        <v>0</v>
      </c>
      <c r="G40" s="59">
        <f>IFERROR(__xludf.DUMMYFUNCTION("""COMPUTED_VALUE"""),1.0)</f>
        <v>1</v>
      </c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>
      <c r="A41" s="84">
        <f>IFERROR(__xludf.DUMMYFUNCTION("""COMPUTED_VALUE"""),46046.0)</f>
        <v>46046</v>
      </c>
      <c r="B41" s="59" t="str">
        <f>IFERROR(__xludf.DUMMYFUNCTION("""COMPUTED_VALUE"""),"YEMOLEE")</f>
        <v>YEMOLEE</v>
      </c>
      <c r="C41" s="59" t="str">
        <f>IFERROR(__xludf.DUMMYFUNCTION("""COMPUTED_VALUE"""),"FLICK")</f>
        <v>FLICK</v>
      </c>
      <c r="D41" s="59">
        <f>IFERROR(__xludf.DUMMYFUNCTION("""COMPUTED_VALUE"""),4.0)</f>
        <v>4</v>
      </c>
      <c r="E41" s="59">
        <f>IFERROR(__xludf.DUMMYFUNCTION("""COMPUTED_VALUE"""),4.0)</f>
        <v>4</v>
      </c>
      <c r="F41" s="59">
        <f>IFERROR(__xludf.DUMMYFUNCTION("""COMPUTED_VALUE"""),0.0)</f>
        <v>0</v>
      </c>
      <c r="G41" s="59">
        <f>IFERROR(__xludf.DUMMYFUNCTION("""COMPUTED_VALUE"""),1.0)</f>
        <v>1</v>
      </c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>
      <c r="A42" s="84">
        <f>IFERROR(__xludf.DUMMYFUNCTION("""COMPUTED_VALUE"""),46047.0)</f>
        <v>46047</v>
      </c>
      <c r="B42" s="59" t="str">
        <f>IFERROR(__xludf.DUMMYFUNCTION("""COMPUTED_VALUE"""),"RHYMEZ")</f>
        <v>RHYMEZ</v>
      </c>
      <c r="C42" s="59" t="str">
        <f>IFERROR(__xludf.DUMMYFUNCTION("""COMPUTED_VALUE"""),"GAMEWITHJOSH")</f>
        <v>GAMEWITHJOSH</v>
      </c>
      <c r="D42" s="59">
        <f>IFERROR(__xludf.DUMMYFUNCTION("""COMPUTED_VALUE"""),3.0)</f>
        <v>3</v>
      </c>
      <c r="E42" s="59">
        <f>IFERROR(__xludf.DUMMYFUNCTION("""COMPUTED_VALUE"""),5.0)</f>
        <v>5</v>
      </c>
      <c r="F42" s="59">
        <f>IFERROR(__xludf.DUMMYFUNCTION("""COMPUTED_VALUE"""),0.0)</f>
        <v>0</v>
      </c>
      <c r="G42" s="59">
        <f>IFERROR(__xludf.DUMMYFUNCTION("""COMPUTED_VALUE"""),0.0)</f>
        <v>0</v>
      </c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>
      <c r="A43" s="84">
        <f>IFERROR(__xludf.DUMMYFUNCTION("""COMPUTED_VALUE"""),46047.0)</f>
        <v>46047</v>
      </c>
      <c r="B43" s="59" t="str">
        <f>IFERROR(__xludf.DUMMYFUNCTION("""COMPUTED_VALUE"""),"SIMPLYY UZO")</f>
        <v>SIMPLYY UZO</v>
      </c>
      <c r="C43" s="59" t="str">
        <f>IFERROR(__xludf.DUMMYFUNCTION("""COMPUTED_VALUE"""),"MR OGA")</f>
        <v>MR OGA</v>
      </c>
      <c r="D43" s="59">
        <f>IFERROR(__xludf.DUMMYFUNCTION("""COMPUTED_VALUE"""),3.0)</f>
        <v>3</v>
      </c>
      <c r="E43" s="59">
        <f>IFERROR(__xludf.DUMMYFUNCTION("""COMPUTED_VALUE"""),6.0)</f>
        <v>6</v>
      </c>
      <c r="F43" s="59">
        <f>IFERROR(__xludf.DUMMYFUNCTION("""COMPUTED_VALUE"""),0.0)</f>
        <v>0</v>
      </c>
      <c r="G43" s="59">
        <f>IFERROR(__xludf.DUMMYFUNCTION("""COMPUTED_VALUE"""),0.0)</f>
        <v>0</v>
      </c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>
      <c r="A44" s="84">
        <f>IFERROR(__xludf.DUMMYFUNCTION("""COMPUTED_VALUE"""),46047.0)</f>
        <v>46047</v>
      </c>
      <c r="B44" s="59" t="str">
        <f>IFERROR(__xludf.DUMMYFUNCTION("""COMPUTED_VALUE"""),"YEMOLEE")</f>
        <v>YEMOLEE</v>
      </c>
      <c r="C44" s="59" t="str">
        <f>IFERROR(__xludf.DUMMYFUNCTION("""COMPUTED_VALUE"""),"DADABOI")</f>
        <v>DADABOI</v>
      </c>
      <c r="D44" s="59">
        <f>IFERROR(__xludf.DUMMYFUNCTION("""COMPUTED_VALUE"""),7.0)</f>
        <v>7</v>
      </c>
      <c r="E44" s="59">
        <f>IFERROR(__xludf.DUMMYFUNCTION("""COMPUTED_VALUE"""),3.0)</f>
        <v>3</v>
      </c>
      <c r="F44" s="59">
        <f>IFERROR(__xludf.DUMMYFUNCTION("""COMPUTED_VALUE"""),1.0)</f>
        <v>1</v>
      </c>
      <c r="G44" s="59">
        <f>IFERROR(__xludf.DUMMYFUNCTION("""COMPUTED_VALUE"""),3.0)</f>
        <v>3</v>
      </c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>
      <c r="A45" s="84">
        <f>IFERROR(__xludf.DUMMYFUNCTION("""COMPUTED_VALUE"""),46047.0)</f>
        <v>46047</v>
      </c>
      <c r="B45" s="59" t="str">
        <f>IFERROR(__xludf.DUMMYFUNCTION("""COMPUTED_VALUE"""),"KAYKAY")</f>
        <v>KAYKAY</v>
      </c>
      <c r="C45" s="59" t="str">
        <f>IFERROR(__xludf.DUMMYFUNCTION("""COMPUTED_VALUE"""),"BRIGHT")</f>
        <v>BRIGHT</v>
      </c>
      <c r="D45" s="59">
        <f>IFERROR(__xludf.DUMMYFUNCTION("""COMPUTED_VALUE"""),6.0)</f>
        <v>6</v>
      </c>
      <c r="E45" s="59">
        <f>IFERROR(__xludf.DUMMYFUNCTION("""COMPUTED_VALUE"""),3.0)</f>
        <v>3</v>
      </c>
      <c r="F45" s="59">
        <f>IFERROR(__xludf.DUMMYFUNCTION("""COMPUTED_VALUE"""),1.0)</f>
        <v>1</v>
      </c>
      <c r="G45" s="59">
        <f>IFERROR(__xludf.DUMMYFUNCTION("""COMPUTED_VALUE"""),3.0)</f>
        <v>3</v>
      </c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>
      <c r="A46" s="84">
        <f>IFERROR(__xludf.DUMMYFUNCTION("""COMPUTED_VALUE"""),46047.0)</f>
        <v>46047</v>
      </c>
      <c r="B46" s="59" t="str">
        <f>IFERROR(__xludf.DUMMYFUNCTION("""COMPUTED_VALUE"""),"GAMEWITHJOSH")</f>
        <v>GAMEWITHJOSH</v>
      </c>
      <c r="C46" s="59" t="str">
        <f>IFERROR(__xludf.DUMMYFUNCTION("""COMPUTED_VALUE"""),"SON OF GOD")</f>
        <v>SON OF GOD</v>
      </c>
      <c r="D46" s="59">
        <f>IFERROR(__xludf.DUMMYFUNCTION("""COMPUTED_VALUE"""),4.0)</f>
        <v>4</v>
      </c>
      <c r="E46" s="59">
        <f>IFERROR(__xludf.DUMMYFUNCTION("""COMPUTED_VALUE"""),2.0)</f>
        <v>2</v>
      </c>
      <c r="F46" s="59">
        <f>IFERROR(__xludf.DUMMYFUNCTION("""COMPUTED_VALUE"""),1.0)</f>
        <v>1</v>
      </c>
      <c r="G46" s="59">
        <f>IFERROR(__xludf.DUMMYFUNCTION("""COMPUTED_VALUE"""),3.0)</f>
        <v>3</v>
      </c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>
      <c r="A47" s="84">
        <f>IFERROR(__xludf.DUMMYFUNCTION("""COMPUTED_VALUE"""),46047.0)</f>
        <v>46047</v>
      </c>
      <c r="B47" s="59" t="str">
        <f>IFERROR(__xludf.DUMMYFUNCTION("""COMPUTED_VALUE"""),"RHYMEZ")</f>
        <v>RHYMEZ</v>
      </c>
      <c r="C47" s="59" t="str">
        <f>IFERROR(__xludf.DUMMYFUNCTION("""COMPUTED_VALUE"""),"BRIGHT")</f>
        <v>BRIGHT</v>
      </c>
      <c r="D47" s="59">
        <f>IFERROR(__xludf.DUMMYFUNCTION("""COMPUTED_VALUE"""),5.0)</f>
        <v>5</v>
      </c>
      <c r="E47" s="59">
        <f>IFERROR(__xludf.DUMMYFUNCTION("""COMPUTED_VALUE"""),2.0)</f>
        <v>2</v>
      </c>
      <c r="F47" s="59">
        <f>IFERROR(__xludf.DUMMYFUNCTION("""COMPUTED_VALUE"""),1.0)</f>
        <v>1</v>
      </c>
      <c r="G47" s="59">
        <f>IFERROR(__xludf.DUMMYFUNCTION("""COMPUTED_VALUE"""),3.0)</f>
        <v>3</v>
      </c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>
      <c r="A48" s="84">
        <f>IFERROR(__xludf.DUMMYFUNCTION("""COMPUTED_VALUE"""),46047.0)</f>
        <v>46047</v>
      </c>
      <c r="B48" s="59" t="str">
        <f>IFERROR(__xludf.DUMMYFUNCTION("""COMPUTED_VALUE"""),"GURU")</f>
        <v>GURU</v>
      </c>
      <c r="C48" s="59" t="str">
        <f>IFERROR(__xludf.DUMMYFUNCTION("""COMPUTED_VALUE"""),"DRACARYS")</f>
        <v>DRACARYS</v>
      </c>
      <c r="D48" s="59">
        <f>IFERROR(__xludf.DUMMYFUNCTION("""COMPUTED_VALUE"""),6.0)</f>
        <v>6</v>
      </c>
      <c r="E48" s="59">
        <f>IFERROR(__xludf.DUMMYFUNCTION("""COMPUTED_VALUE"""),1.0)</f>
        <v>1</v>
      </c>
      <c r="F48" s="59">
        <f>IFERROR(__xludf.DUMMYFUNCTION("""COMPUTED_VALUE"""),1.0)</f>
        <v>1</v>
      </c>
      <c r="G48" s="59">
        <f>IFERROR(__xludf.DUMMYFUNCTION("""COMPUTED_VALUE"""),3.0)</f>
        <v>3</v>
      </c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>
      <c r="A49" s="84">
        <f>IFERROR(__xludf.DUMMYFUNCTION("""COMPUTED_VALUE"""),46047.0)</f>
        <v>46047</v>
      </c>
      <c r="B49" s="59" t="str">
        <f>IFERROR(__xludf.DUMMYFUNCTION("""COMPUTED_VALUE"""),"BALO K")</f>
        <v>BALO K</v>
      </c>
      <c r="C49" s="59" t="str">
        <f>IFERROR(__xludf.DUMMYFUNCTION("""COMPUTED_VALUE"""),"SON OF GOD")</f>
        <v>SON OF GOD</v>
      </c>
      <c r="D49" s="59">
        <f>IFERROR(__xludf.DUMMYFUNCTION("""COMPUTED_VALUE"""),3.0)</f>
        <v>3</v>
      </c>
      <c r="E49" s="59">
        <f>IFERROR(__xludf.DUMMYFUNCTION("""COMPUTED_VALUE"""),5.0)</f>
        <v>5</v>
      </c>
      <c r="F49" s="59">
        <f>IFERROR(__xludf.DUMMYFUNCTION("""COMPUTED_VALUE"""),0.0)</f>
        <v>0</v>
      </c>
      <c r="G49" s="59">
        <f>IFERROR(__xludf.DUMMYFUNCTION("""COMPUTED_VALUE"""),0.0)</f>
        <v>0</v>
      </c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>
      <c r="A50" s="84">
        <f>IFERROR(__xludf.DUMMYFUNCTION("""COMPUTED_VALUE"""),46047.0)</f>
        <v>46047</v>
      </c>
      <c r="B50" s="59" t="str">
        <f>IFERROR(__xludf.DUMMYFUNCTION("""COMPUTED_VALUE"""),"BAJI SNR")</f>
        <v>BAJI SNR</v>
      </c>
      <c r="C50" s="59" t="str">
        <f>IFERROR(__xludf.DUMMYFUNCTION("""COMPUTED_VALUE"""),"WOLEVATION")</f>
        <v>WOLEVATION</v>
      </c>
      <c r="D50" s="59">
        <f>IFERROR(__xludf.DUMMYFUNCTION("""COMPUTED_VALUE"""),0.0)</f>
        <v>0</v>
      </c>
      <c r="E50" s="59">
        <f>IFERROR(__xludf.DUMMYFUNCTION("""COMPUTED_VALUE"""),3.0)</f>
        <v>3</v>
      </c>
      <c r="F50" s="59">
        <f>IFERROR(__xludf.DUMMYFUNCTION("""COMPUTED_VALUE"""),0.0)</f>
        <v>0</v>
      </c>
      <c r="G50" s="59">
        <f>IFERROR(__xludf.DUMMYFUNCTION("""COMPUTED_VALUE"""),0.0)</f>
        <v>0</v>
      </c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>
      <c r="A51" s="84">
        <f>IFERROR(__xludf.DUMMYFUNCTION("""COMPUTED_VALUE"""),46047.0)</f>
        <v>46047</v>
      </c>
      <c r="B51" s="59" t="str">
        <f>IFERROR(__xludf.DUMMYFUNCTION("""COMPUTED_VALUE"""),"BAJI SNR")</f>
        <v>BAJI SNR</v>
      </c>
      <c r="C51" s="59" t="str">
        <f>IFERROR(__xludf.DUMMYFUNCTION("""COMPUTED_VALUE"""),"MR OGA")</f>
        <v>MR OGA</v>
      </c>
      <c r="D51" s="59">
        <f>IFERROR(__xludf.DUMMYFUNCTION("""COMPUTED_VALUE"""),0.0)</f>
        <v>0</v>
      </c>
      <c r="E51" s="59">
        <f>IFERROR(__xludf.DUMMYFUNCTION("""COMPUTED_VALUE"""),3.0)</f>
        <v>3</v>
      </c>
      <c r="F51" s="59">
        <f>IFERROR(__xludf.DUMMYFUNCTION("""COMPUTED_VALUE"""),0.0)</f>
        <v>0</v>
      </c>
      <c r="G51" s="59">
        <f>IFERROR(__xludf.DUMMYFUNCTION("""COMPUTED_VALUE"""),0.0)</f>
        <v>0</v>
      </c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>
      <c r="A52" s="84">
        <f>IFERROR(__xludf.DUMMYFUNCTION("""COMPUTED_VALUE"""),46047.0)</f>
        <v>46047</v>
      </c>
      <c r="B52" s="59" t="str">
        <f>IFERROR(__xludf.DUMMYFUNCTION("""COMPUTED_VALUE"""),"TACTICAL")</f>
        <v>TACTICAL</v>
      </c>
      <c r="C52" s="59" t="str">
        <f>IFERROR(__xludf.DUMMYFUNCTION("""COMPUTED_VALUE"""),"KINGNONEX")</f>
        <v>KINGNONEX</v>
      </c>
      <c r="D52" s="59">
        <f>IFERROR(__xludf.DUMMYFUNCTION("""COMPUTED_VALUE"""),4.0)</f>
        <v>4</v>
      </c>
      <c r="E52" s="59">
        <f>IFERROR(__xludf.DUMMYFUNCTION("""COMPUTED_VALUE"""),3.0)</f>
        <v>3</v>
      </c>
      <c r="F52" s="59">
        <f>IFERROR(__xludf.DUMMYFUNCTION("""COMPUTED_VALUE"""),1.0)</f>
        <v>1</v>
      </c>
      <c r="G52" s="59">
        <f>IFERROR(__xludf.DUMMYFUNCTION("""COMPUTED_VALUE"""),3.0)</f>
        <v>3</v>
      </c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>
      <c r="A53" s="84">
        <f>IFERROR(__xludf.DUMMYFUNCTION("""COMPUTED_VALUE"""),46047.0)</f>
        <v>46047</v>
      </c>
      <c r="B53" s="59" t="str">
        <f>IFERROR(__xludf.DUMMYFUNCTION("""COMPUTED_VALUE"""),"KHALEEDOY")</f>
        <v>KHALEEDOY</v>
      </c>
      <c r="C53" s="59" t="str">
        <f>IFERROR(__xludf.DUMMYFUNCTION("""COMPUTED_VALUE"""),"FLICK")</f>
        <v>FLICK</v>
      </c>
      <c r="D53" s="59">
        <f>IFERROR(__xludf.DUMMYFUNCTION("""COMPUTED_VALUE"""),10.0)</f>
        <v>10</v>
      </c>
      <c r="E53" s="59">
        <f>IFERROR(__xludf.DUMMYFUNCTION("""COMPUTED_VALUE"""),2.0)</f>
        <v>2</v>
      </c>
      <c r="F53" s="59">
        <f>IFERROR(__xludf.DUMMYFUNCTION("""COMPUTED_VALUE"""),1.0)</f>
        <v>1</v>
      </c>
      <c r="G53" s="59">
        <f>IFERROR(__xludf.DUMMYFUNCTION("""COMPUTED_VALUE"""),3.0)</f>
        <v>3</v>
      </c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>
      <c r="A54" s="84">
        <f>IFERROR(__xludf.DUMMYFUNCTION("""COMPUTED_VALUE"""),46055.0)</f>
        <v>46055</v>
      </c>
      <c r="B54" s="59" t="str">
        <f>IFERROR(__xludf.DUMMYFUNCTION("""COMPUTED_VALUE"""),"MR OGA")</f>
        <v>MR OGA</v>
      </c>
      <c r="C54" s="59" t="str">
        <f>IFERROR(__xludf.DUMMYFUNCTION("""COMPUTED_VALUE"""),"BLAISE99")</f>
        <v>BLAISE99</v>
      </c>
      <c r="D54" s="59">
        <f>IFERROR(__xludf.DUMMYFUNCTION("""COMPUTED_VALUE"""),6.0)</f>
        <v>6</v>
      </c>
      <c r="E54" s="59">
        <f>IFERROR(__xludf.DUMMYFUNCTION("""COMPUTED_VALUE"""),5.0)</f>
        <v>5</v>
      </c>
      <c r="F54" s="59">
        <f>IFERROR(__xludf.DUMMYFUNCTION("""COMPUTED_VALUE"""),1.0)</f>
        <v>1</v>
      </c>
      <c r="G54" s="59">
        <f>IFERROR(__xludf.DUMMYFUNCTION("""COMPUTED_VALUE"""),3.0)</f>
        <v>3</v>
      </c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>
      <c r="A55" s="84">
        <f>IFERROR(__xludf.DUMMYFUNCTION("""COMPUTED_VALUE"""),46055.0)</f>
        <v>46055</v>
      </c>
      <c r="B55" s="59" t="str">
        <f>IFERROR(__xludf.DUMMYFUNCTION("""COMPUTED_VALUE"""),"TACTICAL")</f>
        <v>TACTICAL</v>
      </c>
      <c r="C55" s="59" t="str">
        <f>IFERROR(__xludf.DUMMYFUNCTION("""COMPUTED_VALUE"""),"KHALEEDOY")</f>
        <v>KHALEEDOY</v>
      </c>
      <c r="D55" s="59">
        <f>IFERROR(__xludf.DUMMYFUNCTION("""COMPUTED_VALUE"""),4.0)</f>
        <v>4</v>
      </c>
      <c r="E55" s="59">
        <f>IFERROR(__xludf.DUMMYFUNCTION("""COMPUTED_VALUE"""),3.0)</f>
        <v>3</v>
      </c>
      <c r="F55" s="59">
        <f>IFERROR(__xludf.DUMMYFUNCTION("""COMPUTED_VALUE"""),1.0)</f>
        <v>1</v>
      </c>
      <c r="G55" s="59">
        <f>IFERROR(__xludf.DUMMYFUNCTION("""COMPUTED_VALUE"""),3.0)</f>
        <v>3</v>
      </c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>
      <c r="A56" s="84">
        <f>IFERROR(__xludf.DUMMYFUNCTION("""COMPUTED_VALUE"""),46055.0)</f>
        <v>46055</v>
      </c>
      <c r="B56" s="59" t="str">
        <f>IFERROR(__xludf.DUMMYFUNCTION("""COMPUTED_VALUE"""),"GURU")</f>
        <v>GURU</v>
      </c>
      <c r="C56" s="59" t="str">
        <f>IFERROR(__xludf.DUMMYFUNCTION("""COMPUTED_VALUE"""),"YEMOLEE")</f>
        <v>YEMOLEE</v>
      </c>
      <c r="D56" s="59">
        <f>IFERROR(__xludf.DUMMYFUNCTION("""COMPUTED_VALUE"""),3.0)</f>
        <v>3</v>
      </c>
      <c r="E56" s="59">
        <f>IFERROR(__xludf.DUMMYFUNCTION("""COMPUTED_VALUE"""),5.0)</f>
        <v>5</v>
      </c>
      <c r="F56" s="59">
        <f>IFERROR(__xludf.DUMMYFUNCTION("""COMPUTED_VALUE"""),0.0)</f>
        <v>0</v>
      </c>
      <c r="G56" s="59">
        <f>IFERROR(__xludf.DUMMYFUNCTION("""COMPUTED_VALUE"""),0.0)</f>
        <v>0</v>
      </c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>
      <c r="A57" s="84">
        <f>IFERROR(__xludf.DUMMYFUNCTION("""COMPUTED_VALUE"""),46055.0)</f>
        <v>46055</v>
      </c>
      <c r="B57" s="59" t="str">
        <f>IFERROR(__xludf.DUMMYFUNCTION("""COMPUTED_VALUE"""),"ANIFE")</f>
        <v>ANIFE</v>
      </c>
      <c r="C57" s="59" t="str">
        <f>IFERROR(__xludf.DUMMYFUNCTION("""COMPUTED_VALUE"""),"DADABOI")</f>
        <v>DADABOI</v>
      </c>
      <c r="D57" s="59">
        <f>IFERROR(__xludf.DUMMYFUNCTION("""COMPUTED_VALUE"""),5.0)</f>
        <v>5</v>
      </c>
      <c r="E57" s="59">
        <f>IFERROR(__xludf.DUMMYFUNCTION("""COMPUTED_VALUE"""),6.0)</f>
        <v>6</v>
      </c>
      <c r="F57" s="59">
        <f>IFERROR(__xludf.DUMMYFUNCTION("""COMPUTED_VALUE"""),0.0)</f>
        <v>0</v>
      </c>
      <c r="G57" s="59">
        <f>IFERROR(__xludf.DUMMYFUNCTION("""COMPUTED_VALUE"""),0.0)</f>
        <v>0</v>
      </c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>
      <c r="A58" s="84">
        <f>IFERROR(__xludf.DUMMYFUNCTION("""COMPUTED_VALUE"""),46055.0)</f>
        <v>46055</v>
      </c>
      <c r="B58" s="59" t="str">
        <f>IFERROR(__xludf.DUMMYFUNCTION("""COMPUTED_VALUE"""),"BAJI SNR")</f>
        <v>BAJI SNR</v>
      </c>
      <c r="C58" s="59" t="str">
        <f>IFERROR(__xludf.DUMMYFUNCTION("""COMPUTED_VALUE"""),"DRACARYS")</f>
        <v>DRACARYS</v>
      </c>
      <c r="D58" s="59">
        <f>IFERROR(__xludf.DUMMYFUNCTION("""COMPUTED_VALUE"""),1.0)</f>
        <v>1</v>
      </c>
      <c r="E58" s="59">
        <f>IFERROR(__xludf.DUMMYFUNCTION("""COMPUTED_VALUE"""),4.0)</f>
        <v>4</v>
      </c>
      <c r="F58" s="59">
        <f>IFERROR(__xludf.DUMMYFUNCTION("""COMPUTED_VALUE"""),0.0)</f>
        <v>0</v>
      </c>
      <c r="G58" s="59">
        <f>IFERROR(__xludf.DUMMYFUNCTION("""COMPUTED_VALUE"""),0.0)</f>
        <v>0</v>
      </c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>
      <c r="A59" s="84">
        <f>IFERROR(__xludf.DUMMYFUNCTION("""COMPUTED_VALUE"""),46055.0)</f>
        <v>46055</v>
      </c>
      <c r="B59" s="59" t="str">
        <f>IFERROR(__xludf.DUMMYFUNCTION("""COMPUTED_VALUE"""),"RHYMEZ")</f>
        <v>RHYMEZ</v>
      </c>
      <c r="C59" s="59" t="str">
        <f>IFERROR(__xludf.DUMMYFUNCTION("""COMPUTED_VALUE"""),"BLAISE99")</f>
        <v>BLAISE99</v>
      </c>
      <c r="D59" s="59">
        <f>IFERROR(__xludf.DUMMYFUNCTION("""COMPUTED_VALUE"""),6.0)</f>
        <v>6</v>
      </c>
      <c r="E59" s="59">
        <f>IFERROR(__xludf.DUMMYFUNCTION("""COMPUTED_VALUE"""),2.0)</f>
        <v>2</v>
      </c>
      <c r="F59" s="59">
        <f>IFERROR(__xludf.DUMMYFUNCTION("""COMPUTED_VALUE"""),1.0)</f>
        <v>1</v>
      </c>
      <c r="G59" s="59">
        <f>IFERROR(__xludf.DUMMYFUNCTION("""COMPUTED_VALUE"""),3.0)</f>
        <v>3</v>
      </c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>
      <c r="A60" s="84">
        <f>IFERROR(__xludf.DUMMYFUNCTION("""COMPUTED_VALUE"""),46055.0)</f>
        <v>46055</v>
      </c>
      <c r="B60" s="59" t="str">
        <f>IFERROR(__xludf.DUMMYFUNCTION("""COMPUTED_VALUE"""),"SON OF GOD")</f>
        <v>SON OF GOD</v>
      </c>
      <c r="C60" s="59" t="str">
        <f>IFERROR(__xludf.DUMMYFUNCTION("""COMPUTED_VALUE"""),"TACTICAL")</f>
        <v>TACTICAL</v>
      </c>
      <c r="D60" s="59">
        <f>IFERROR(__xludf.DUMMYFUNCTION("""COMPUTED_VALUE"""),3.0)</f>
        <v>3</v>
      </c>
      <c r="E60" s="59">
        <f>IFERROR(__xludf.DUMMYFUNCTION("""COMPUTED_VALUE"""),5.0)</f>
        <v>5</v>
      </c>
      <c r="F60" s="59">
        <f>IFERROR(__xludf.DUMMYFUNCTION("""COMPUTED_VALUE"""),0.0)</f>
        <v>0</v>
      </c>
      <c r="G60" s="59">
        <f>IFERROR(__xludf.DUMMYFUNCTION("""COMPUTED_VALUE"""),0.0)</f>
        <v>0</v>
      </c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>
      <c r="A61" s="84">
        <f>IFERROR(__xludf.DUMMYFUNCTION("""COMPUTED_VALUE"""),46055.0)</f>
        <v>46055</v>
      </c>
      <c r="B61" s="59" t="str">
        <f>IFERROR(__xludf.DUMMYFUNCTION("""COMPUTED_VALUE"""),"MR OGA")</f>
        <v>MR OGA</v>
      </c>
      <c r="C61" s="59" t="str">
        <f>IFERROR(__xludf.DUMMYFUNCTION("""COMPUTED_VALUE"""),"BRIGHT")</f>
        <v>BRIGHT</v>
      </c>
      <c r="D61" s="59">
        <f>IFERROR(__xludf.DUMMYFUNCTION("""COMPUTED_VALUE"""),6.0)</f>
        <v>6</v>
      </c>
      <c r="E61" s="59">
        <f>IFERROR(__xludf.DUMMYFUNCTION("""COMPUTED_VALUE"""),5.0)</f>
        <v>5</v>
      </c>
      <c r="F61" s="59">
        <f>IFERROR(__xludf.DUMMYFUNCTION("""COMPUTED_VALUE"""),1.0)</f>
        <v>1</v>
      </c>
      <c r="G61" s="59">
        <f>IFERROR(__xludf.DUMMYFUNCTION("""COMPUTED_VALUE"""),3.0)</f>
        <v>3</v>
      </c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>
      <c r="A62" s="84">
        <f>IFERROR(__xludf.DUMMYFUNCTION("""COMPUTED_VALUE"""),46055.0)</f>
        <v>46055</v>
      </c>
      <c r="B62" s="59" t="str">
        <f>IFERROR(__xludf.DUMMYFUNCTION("""COMPUTED_VALUE"""),"ANIFE")</f>
        <v>ANIFE</v>
      </c>
      <c r="C62" s="59" t="str">
        <f>IFERROR(__xludf.DUMMYFUNCTION("""COMPUTED_VALUE"""),"KAYKAY")</f>
        <v>KAYKAY</v>
      </c>
      <c r="D62" s="59">
        <f>IFERROR(__xludf.DUMMYFUNCTION("""COMPUTED_VALUE"""),7.0)</f>
        <v>7</v>
      </c>
      <c r="E62" s="59">
        <f>IFERROR(__xludf.DUMMYFUNCTION("""COMPUTED_VALUE"""),6.0)</f>
        <v>6</v>
      </c>
      <c r="F62" s="59">
        <f>IFERROR(__xludf.DUMMYFUNCTION("""COMPUTED_VALUE"""),1.0)</f>
        <v>1</v>
      </c>
      <c r="G62" s="59">
        <f>IFERROR(__xludf.DUMMYFUNCTION("""COMPUTED_VALUE"""),3.0)</f>
        <v>3</v>
      </c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>
      <c r="A63" s="84">
        <f>IFERROR(__xludf.DUMMYFUNCTION("""COMPUTED_VALUE"""),46055.0)</f>
        <v>46055</v>
      </c>
      <c r="B63" s="59" t="str">
        <f>IFERROR(__xludf.DUMMYFUNCTION("""COMPUTED_VALUE"""),"RHYMEZ")</f>
        <v>RHYMEZ</v>
      </c>
      <c r="C63" s="59" t="str">
        <f>IFERROR(__xludf.DUMMYFUNCTION("""COMPUTED_VALUE"""),"BAJI SNR")</f>
        <v>BAJI SNR</v>
      </c>
      <c r="D63" s="59">
        <f>IFERROR(__xludf.DUMMYFUNCTION("""COMPUTED_VALUE"""),6.0)</f>
        <v>6</v>
      </c>
      <c r="E63" s="59">
        <f>IFERROR(__xludf.DUMMYFUNCTION("""COMPUTED_VALUE"""),4.0)</f>
        <v>4</v>
      </c>
      <c r="F63" s="59">
        <f>IFERROR(__xludf.DUMMYFUNCTION("""COMPUTED_VALUE"""),1.0)</f>
        <v>1</v>
      </c>
      <c r="G63" s="59">
        <f>IFERROR(__xludf.DUMMYFUNCTION("""COMPUTED_VALUE"""),3.0)</f>
        <v>3</v>
      </c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>
      <c r="A64" s="84">
        <f>IFERROR(__xludf.DUMMYFUNCTION("""COMPUTED_VALUE"""),46055.0)</f>
        <v>46055</v>
      </c>
      <c r="B64" s="59" t="str">
        <f>IFERROR(__xludf.DUMMYFUNCTION("""COMPUTED_VALUE"""),"KAYKAY")</f>
        <v>KAYKAY</v>
      </c>
      <c r="C64" s="59" t="str">
        <f>IFERROR(__xludf.DUMMYFUNCTION("""COMPUTED_VALUE"""),"FLICK")</f>
        <v>FLICK</v>
      </c>
      <c r="D64" s="59">
        <f>IFERROR(__xludf.DUMMYFUNCTION("""COMPUTED_VALUE"""),6.0)</f>
        <v>6</v>
      </c>
      <c r="E64" s="59">
        <f>IFERROR(__xludf.DUMMYFUNCTION("""COMPUTED_VALUE"""),3.0)</f>
        <v>3</v>
      </c>
      <c r="F64" s="59">
        <f>IFERROR(__xludf.DUMMYFUNCTION("""COMPUTED_VALUE"""),1.0)</f>
        <v>1</v>
      </c>
      <c r="G64" s="59">
        <f>IFERROR(__xludf.DUMMYFUNCTION("""COMPUTED_VALUE"""),3.0)</f>
        <v>3</v>
      </c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>
      <c r="A65" s="84">
        <f>IFERROR(__xludf.DUMMYFUNCTION("""COMPUTED_VALUE"""),46055.0)</f>
        <v>46055</v>
      </c>
      <c r="B65" s="59" t="str">
        <f>IFERROR(__xludf.DUMMYFUNCTION("""COMPUTED_VALUE"""),"DADABOI")</f>
        <v>DADABOI</v>
      </c>
      <c r="C65" s="59" t="str">
        <f>IFERROR(__xludf.DUMMYFUNCTION("""COMPUTED_VALUE"""),"KHALEEDOY")</f>
        <v>KHALEEDOY</v>
      </c>
      <c r="D65" s="59">
        <f>IFERROR(__xludf.DUMMYFUNCTION("""COMPUTED_VALUE"""),3.0)</f>
        <v>3</v>
      </c>
      <c r="E65" s="59">
        <f>IFERROR(__xludf.DUMMYFUNCTION("""COMPUTED_VALUE"""),3.0)</f>
        <v>3</v>
      </c>
      <c r="F65" s="59">
        <f>IFERROR(__xludf.DUMMYFUNCTION("""COMPUTED_VALUE"""),0.0)</f>
        <v>0</v>
      </c>
      <c r="G65" s="59">
        <f>IFERROR(__xludf.DUMMYFUNCTION("""COMPUTED_VALUE"""),1.0)</f>
        <v>1</v>
      </c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>
      <c r="A66" s="84">
        <f>IFERROR(__xludf.DUMMYFUNCTION("""COMPUTED_VALUE"""),46055.0)</f>
        <v>46055</v>
      </c>
      <c r="B66" s="59" t="str">
        <f>IFERROR(__xludf.DUMMYFUNCTION("""COMPUTED_VALUE"""),"WOLEVATION")</f>
        <v>WOLEVATION</v>
      </c>
      <c r="C66" s="59" t="str">
        <f>IFERROR(__xludf.DUMMYFUNCTION("""COMPUTED_VALUE"""),"KINGNONEX")</f>
        <v>KINGNONEX</v>
      </c>
      <c r="D66" s="59">
        <f>IFERROR(__xludf.DUMMYFUNCTION("""COMPUTED_VALUE"""),0.0)</f>
        <v>0</v>
      </c>
      <c r="E66" s="59">
        <f>IFERROR(__xludf.DUMMYFUNCTION("""COMPUTED_VALUE"""),5.0)</f>
        <v>5</v>
      </c>
      <c r="F66" s="59">
        <f>IFERROR(__xludf.DUMMYFUNCTION("""COMPUTED_VALUE"""),0.0)</f>
        <v>0</v>
      </c>
      <c r="G66" s="59">
        <f>IFERROR(__xludf.DUMMYFUNCTION("""COMPUTED_VALUE"""),0.0)</f>
        <v>0</v>
      </c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>
      <c r="A67" s="84">
        <f>IFERROR(__xludf.DUMMYFUNCTION("""COMPUTED_VALUE"""),46055.0)</f>
        <v>46055</v>
      </c>
      <c r="B67" s="59" t="str">
        <f>IFERROR(__xludf.DUMMYFUNCTION("""COMPUTED_VALUE"""),"GURU")</f>
        <v>GURU</v>
      </c>
      <c r="C67" s="59" t="str">
        <f>IFERROR(__xludf.DUMMYFUNCTION("""COMPUTED_VALUE"""),"BALO K")</f>
        <v>BALO K</v>
      </c>
      <c r="D67" s="59">
        <f>IFERROR(__xludf.DUMMYFUNCTION("""COMPUTED_VALUE"""),16.0)</f>
        <v>16</v>
      </c>
      <c r="E67" s="59">
        <f>IFERROR(__xludf.DUMMYFUNCTION("""COMPUTED_VALUE"""),3.0)</f>
        <v>3</v>
      </c>
      <c r="F67" s="59">
        <f>IFERROR(__xludf.DUMMYFUNCTION("""COMPUTED_VALUE"""),1.0)</f>
        <v>1</v>
      </c>
      <c r="G67" s="59">
        <f>IFERROR(__xludf.DUMMYFUNCTION("""COMPUTED_VALUE"""),3.0)</f>
        <v>3</v>
      </c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>
      <c r="A68" s="84">
        <f>IFERROR(__xludf.DUMMYFUNCTION("""COMPUTED_VALUE"""),46055.0)</f>
        <v>46055</v>
      </c>
      <c r="B68" s="59" t="str">
        <f>IFERROR(__xludf.DUMMYFUNCTION("""COMPUTED_VALUE"""),"YEMOLEE")</f>
        <v>YEMOLEE</v>
      </c>
      <c r="C68" s="59" t="str">
        <f>IFERROR(__xludf.DUMMYFUNCTION("""COMPUTED_VALUE"""),"SON OF GOD")</f>
        <v>SON OF GOD</v>
      </c>
      <c r="D68" s="59">
        <f>IFERROR(__xludf.DUMMYFUNCTION("""COMPUTED_VALUE"""),6.0)</f>
        <v>6</v>
      </c>
      <c r="E68" s="59">
        <f>IFERROR(__xludf.DUMMYFUNCTION("""COMPUTED_VALUE"""),7.0)</f>
        <v>7</v>
      </c>
      <c r="F68" s="59">
        <f>IFERROR(__xludf.DUMMYFUNCTION("""COMPUTED_VALUE"""),0.0)</f>
        <v>0</v>
      </c>
      <c r="G68" s="59">
        <f>IFERROR(__xludf.DUMMYFUNCTION("""COMPUTED_VALUE"""),0.0)</f>
        <v>0</v>
      </c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>
      <c r="A69" s="84">
        <f>IFERROR(__xludf.DUMMYFUNCTION("""COMPUTED_VALUE"""),46055.0)</f>
        <v>46055</v>
      </c>
      <c r="B69" s="59" t="str">
        <f>IFERROR(__xludf.DUMMYFUNCTION("""COMPUTED_VALUE"""),"BRIGHT")</f>
        <v>BRIGHT</v>
      </c>
      <c r="C69" s="59" t="str">
        <f>IFERROR(__xludf.DUMMYFUNCTION("""COMPUTED_VALUE"""),"WOLEVATION")</f>
        <v>WOLEVATION</v>
      </c>
      <c r="D69" s="59">
        <f>IFERROR(__xludf.DUMMYFUNCTION("""COMPUTED_VALUE"""),6.0)</f>
        <v>6</v>
      </c>
      <c r="E69" s="59">
        <f>IFERROR(__xludf.DUMMYFUNCTION("""COMPUTED_VALUE"""),3.0)</f>
        <v>3</v>
      </c>
      <c r="F69" s="59">
        <f>IFERROR(__xludf.DUMMYFUNCTION("""COMPUTED_VALUE"""),1.0)</f>
        <v>1</v>
      </c>
      <c r="G69" s="59">
        <f>IFERROR(__xludf.DUMMYFUNCTION("""COMPUTED_VALUE"""),3.0)</f>
        <v>3</v>
      </c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>
      <c r="A70" s="84">
        <f>IFERROR(__xludf.DUMMYFUNCTION("""COMPUTED_VALUE"""),46061.0)</f>
        <v>46061</v>
      </c>
      <c r="B70" s="59" t="str">
        <f>IFERROR(__xludf.DUMMYFUNCTION("""COMPUTED_VALUE"""),"MR OGA")</f>
        <v>MR OGA</v>
      </c>
      <c r="C70" s="59" t="str">
        <f>IFERROR(__xludf.DUMMYFUNCTION("""COMPUTED_VALUE"""),"YEMOLEE")</f>
        <v>YEMOLEE</v>
      </c>
      <c r="D70" s="59">
        <f>IFERROR(__xludf.DUMMYFUNCTION("""COMPUTED_VALUE"""),6.0)</f>
        <v>6</v>
      </c>
      <c r="E70" s="59">
        <f>IFERROR(__xludf.DUMMYFUNCTION("""COMPUTED_VALUE"""),5.0)</f>
        <v>5</v>
      </c>
      <c r="F70" s="59">
        <f>IFERROR(__xludf.DUMMYFUNCTION("""COMPUTED_VALUE"""),1.0)</f>
        <v>1</v>
      </c>
      <c r="G70" s="59">
        <f>IFERROR(__xludf.DUMMYFUNCTION("""COMPUTED_VALUE"""),3.0)</f>
        <v>3</v>
      </c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>
      <c r="A71" s="84">
        <f>IFERROR(__xludf.DUMMYFUNCTION("""COMPUTED_VALUE"""),46061.0)</f>
        <v>46061</v>
      </c>
      <c r="B71" s="59" t="str">
        <f>IFERROR(__xludf.DUMMYFUNCTION("""COMPUTED_VALUE"""),"BLAISE99")</f>
        <v>BLAISE99</v>
      </c>
      <c r="C71" s="59" t="str">
        <f>IFERROR(__xludf.DUMMYFUNCTION("""COMPUTED_VALUE"""),"FLICK")</f>
        <v>FLICK</v>
      </c>
      <c r="D71" s="59">
        <f>IFERROR(__xludf.DUMMYFUNCTION("""COMPUTED_VALUE"""),4.0)</f>
        <v>4</v>
      </c>
      <c r="E71" s="59">
        <f>IFERROR(__xludf.DUMMYFUNCTION("""COMPUTED_VALUE"""),8.0)</f>
        <v>8</v>
      </c>
      <c r="F71" s="59">
        <f>IFERROR(__xludf.DUMMYFUNCTION("""COMPUTED_VALUE"""),0.0)</f>
        <v>0</v>
      </c>
      <c r="G71" s="59">
        <f>IFERROR(__xludf.DUMMYFUNCTION("""COMPUTED_VALUE"""),0.0)</f>
        <v>0</v>
      </c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>
      <c r="A72" s="84">
        <f>IFERROR(__xludf.DUMMYFUNCTION("""COMPUTED_VALUE"""),46061.0)</f>
        <v>46061</v>
      </c>
      <c r="B72" s="59" t="str">
        <f>IFERROR(__xludf.DUMMYFUNCTION("""COMPUTED_VALUE"""),"GAMEWITHJOSH")</f>
        <v>GAMEWITHJOSH</v>
      </c>
      <c r="C72" s="59" t="str">
        <f>IFERROR(__xludf.DUMMYFUNCTION("""COMPUTED_VALUE"""),"KHALEEDOY")</f>
        <v>KHALEEDOY</v>
      </c>
      <c r="D72" s="59">
        <f>IFERROR(__xludf.DUMMYFUNCTION("""COMPUTED_VALUE"""),5.0)</f>
        <v>5</v>
      </c>
      <c r="E72" s="59">
        <f>IFERROR(__xludf.DUMMYFUNCTION("""COMPUTED_VALUE"""),7.0)</f>
        <v>7</v>
      </c>
      <c r="F72" s="59">
        <f>IFERROR(__xludf.DUMMYFUNCTION("""COMPUTED_VALUE"""),0.0)</f>
        <v>0</v>
      </c>
      <c r="G72" s="59">
        <f>IFERROR(__xludf.DUMMYFUNCTION("""COMPUTED_VALUE"""),0.0)</f>
        <v>0</v>
      </c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>
      <c r="A73" s="84">
        <f>IFERROR(__xludf.DUMMYFUNCTION("""COMPUTED_VALUE"""),46061.0)</f>
        <v>46061</v>
      </c>
      <c r="B73" s="59" t="str">
        <f>IFERROR(__xludf.DUMMYFUNCTION("""COMPUTED_VALUE"""),"GURU")</f>
        <v>GURU</v>
      </c>
      <c r="C73" s="59" t="str">
        <f>IFERROR(__xludf.DUMMYFUNCTION("""COMPUTED_VALUE"""),"SIMPLYY UZO")</f>
        <v>SIMPLYY UZO</v>
      </c>
      <c r="D73" s="59">
        <f>IFERROR(__xludf.DUMMYFUNCTION("""COMPUTED_VALUE"""),6.0)</f>
        <v>6</v>
      </c>
      <c r="E73" s="59">
        <f>IFERROR(__xludf.DUMMYFUNCTION("""COMPUTED_VALUE"""),6.0)</f>
        <v>6</v>
      </c>
      <c r="F73" s="59">
        <f>IFERROR(__xludf.DUMMYFUNCTION("""COMPUTED_VALUE"""),0.0)</f>
        <v>0</v>
      </c>
      <c r="G73" s="59">
        <f>IFERROR(__xludf.DUMMYFUNCTION("""COMPUTED_VALUE"""),1.0)</f>
        <v>1</v>
      </c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>
      <c r="A74" s="84">
        <f>IFERROR(__xludf.DUMMYFUNCTION("""COMPUTED_VALUE"""),46061.0)</f>
        <v>46061</v>
      </c>
      <c r="B74" s="59" t="str">
        <f>IFERROR(__xludf.DUMMYFUNCTION("""COMPUTED_VALUE"""),"BRIGHT")</f>
        <v>BRIGHT</v>
      </c>
      <c r="C74" s="59" t="str">
        <f>IFERROR(__xludf.DUMMYFUNCTION("""COMPUTED_VALUE"""),"SON OF GOD")</f>
        <v>SON OF GOD</v>
      </c>
      <c r="D74" s="59">
        <f>IFERROR(__xludf.DUMMYFUNCTION("""COMPUTED_VALUE"""),7.0)</f>
        <v>7</v>
      </c>
      <c r="E74" s="59">
        <f>IFERROR(__xludf.DUMMYFUNCTION("""COMPUTED_VALUE"""),7.0)</f>
        <v>7</v>
      </c>
      <c r="F74" s="59">
        <f>IFERROR(__xludf.DUMMYFUNCTION("""COMPUTED_VALUE"""),0.0)</f>
        <v>0</v>
      </c>
      <c r="G74" s="59">
        <f>IFERROR(__xludf.DUMMYFUNCTION("""COMPUTED_VALUE"""),1.0)</f>
        <v>1</v>
      </c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>
      <c r="A75" s="84">
        <f>IFERROR(__xludf.DUMMYFUNCTION("""COMPUTED_VALUE"""),46061.0)</f>
        <v>46061</v>
      </c>
      <c r="B75" s="59" t="str">
        <f>IFERROR(__xludf.DUMMYFUNCTION("""COMPUTED_VALUE"""),"ANIFE")</f>
        <v>ANIFE</v>
      </c>
      <c r="C75" s="59" t="str">
        <f>IFERROR(__xludf.DUMMYFUNCTION("""COMPUTED_VALUE"""),"DRACARYS")</f>
        <v>DRACARYS</v>
      </c>
      <c r="D75" s="59">
        <f>IFERROR(__xludf.DUMMYFUNCTION("""COMPUTED_VALUE"""),5.0)</f>
        <v>5</v>
      </c>
      <c r="E75" s="59">
        <f>IFERROR(__xludf.DUMMYFUNCTION("""COMPUTED_VALUE"""),7.0)</f>
        <v>7</v>
      </c>
      <c r="F75" s="59">
        <f>IFERROR(__xludf.DUMMYFUNCTION("""COMPUTED_VALUE"""),0.0)</f>
        <v>0</v>
      </c>
      <c r="G75" s="59">
        <f>IFERROR(__xludf.DUMMYFUNCTION("""COMPUTED_VALUE"""),0.0)</f>
        <v>0</v>
      </c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>
      <c r="A76" s="84">
        <f>IFERROR(__xludf.DUMMYFUNCTION("""COMPUTED_VALUE"""),46061.0)</f>
        <v>46061</v>
      </c>
      <c r="B76" s="59" t="str">
        <f>IFERROR(__xludf.DUMMYFUNCTION("""COMPUTED_VALUE"""),"KINGNONEX")</f>
        <v>KINGNONEX</v>
      </c>
      <c r="C76" s="59" t="str">
        <f>IFERROR(__xludf.DUMMYFUNCTION("""COMPUTED_VALUE"""),"RHYMEZ")</f>
        <v>RHYMEZ</v>
      </c>
      <c r="D76" s="59">
        <f>IFERROR(__xludf.DUMMYFUNCTION("""COMPUTED_VALUE"""),2.0)</f>
        <v>2</v>
      </c>
      <c r="E76" s="59">
        <f>IFERROR(__xludf.DUMMYFUNCTION("""COMPUTED_VALUE"""),2.0)</f>
        <v>2</v>
      </c>
      <c r="F76" s="59">
        <f>IFERROR(__xludf.DUMMYFUNCTION("""COMPUTED_VALUE"""),0.0)</f>
        <v>0</v>
      </c>
      <c r="G76" s="59">
        <f>IFERROR(__xludf.DUMMYFUNCTION("""COMPUTED_VALUE"""),1.0)</f>
        <v>1</v>
      </c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>
      <c r="A77" s="84">
        <f>IFERROR(__xludf.DUMMYFUNCTION("""COMPUTED_VALUE"""),46061.0)</f>
        <v>46061</v>
      </c>
      <c r="B77" s="59" t="str">
        <f>IFERROR(__xludf.DUMMYFUNCTION("""COMPUTED_VALUE"""),"BRIGHT")</f>
        <v>BRIGHT</v>
      </c>
      <c r="C77" s="59" t="str">
        <f>IFERROR(__xludf.DUMMYFUNCTION("""COMPUTED_VALUE"""),"BALO K")</f>
        <v>BALO K</v>
      </c>
      <c r="D77" s="59">
        <f>IFERROR(__xludf.DUMMYFUNCTION("""COMPUTED_VALUE"""),4.0)</f>
        <v>4</v>
      </c>
      <c r="E77" s="59">
        <f>IFERROR(__xludf.DUMMYFUNCTION("""COMPUTED_VALUE"""),1.0)</f>
        <v>1</v>
      </c>
      <c r="F77" s="59">
        <f>IFERROR(__xludf.DUMMYFUNCTION("""COMPUTED_VALUE"""),1.0)</f>
        <v>1</v>
      </c>
      <c r="G77" s="59">
        <f>IFERROR(__xludf.DUMMYFUNCTION("""COMPUTED_VALUE"""),3.0)</f>
        <v>3</v>
      </c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>
      <c r="A78" s="84">
        <f>IFERROR(__xludf.DUMMYFUNCTION("""COMPUTED_VALUE"""),46061.0)</f>
        <v>46061</v>
      </c>
      <c r="B78" s="59" t="str">
        <f>IFERROR(__xludf.DUMMYFUNCTION("""COMPUTED_VALUE"""),"GAMEWITHJOSH")</f>
        <v>GAMEWITHJOSH</v>
      </c>
      <c r="C78" s="59" t="str">
        <f>IFERROR(__xludf.DUMMYFUNCTION("""COMPUTED_VALUE"""),"BAJI SNR")</f>
        <v>BAJI SNR</v>
      </c>
      <c r="D78" s="59">
        <f>IFERROR(__xludf.DUMMYFUNCTION("""COMPUTED_VALUE"""),4.0)</f>
        <v>4</v>
      </c>
      <c r="E78" s="59">
        <f>IFERROR(__xludf.DUMMYFUNCTION("""COMPUTED_VALUE"""),3.0)</f>
        <v>3</v>
      </c>
      <c r="F78" s="59">
        <f>IFERROR(__xludf.DUMMYFUNCTION("""COMPUTED_VALUE"""),1.0)</f>
        <v>1</v>
      </c>
      <c r="G78" s="59">
        <f>IFERROR(__xludf.DUMMYFUNCTION("""COMPUTED_VALUE"""),3.0)</f>
        <v>3</v>
      </c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>
      <c r="A79" s="84">
        <f>IFERROR(__xludf.DUMMYFUNCTION("""COMPUTED_VALUE"""),46061.0)</f>
        <v>46061</v>
      </c>
      <c r="B79" s="59" t="str">
        <f>IFERROR(__xludf.DUMMYFUNCTION("""COMPUTED_VALUE"""),"DRACARYS")</f>
        <v>DRACARYS</v>
      </c>
      <c r="C79" s="59" t="str">
        <f>IFERROR(__xludf.DUMMYFUNCTION("""COMPUTED_VALUE"""),"BLAISE99")</f>
        <v>BLAISE99</v>
      </c>
      <c r="D79" s="59">
        <f>IFERROR(__xludf.DUMMYFUNCTION("""COMPUTED_VALUE"""),6.0)</f>
        <v>6</v>
      </c>
      <c r="E79" s="59">
        <f>IFERROR(__xludf.DUMMYFUNCTION("""COMPUTED_VALUE"""),3.0)</f>
        <v>3</v>
      </c>
      <c r="F79" s="59">
        <f>IFERROR(__xludf.DUMMYFUNCTION("""COMPUTED_VALUE"""),1.0)</f>
        <v>1</v>
      </c>
      <c r="G79" s="59">
        <f>IFERROR(__xludf.DUMMYFUNCTION("""COMPUTED_VALUE"""),3.0)</f>
        <v>3</v>
      </c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>
      <c r="A80" s="84">
        <f>IFERROR(__xludf.DUMMYFUNCTION("""COMPUTED_VALUE"""),46061.0)</f>
        <v>46061</v>
      </c>
      <c r="B80" s="59" t="str">
        <f>IFERROR(__xludf.DUMMYFUNCTION("""COMPUTED_VALUE"""),"KINGNONEX")</f>
        <v>KINGNONEX</v>
      </c>
      <c r="C80" s="59" t="str">
        <f>IFERROR(__xludf.DUMMYFUNCTION("""COMPUTED_VALUE"""),"GURU")</f>
        <v>GURU</v>
      </c>
      <c r="D80" s="59">
        <f>IFERROR(__xludf.DUMMYFUNCTION("""COMPUTED_VALUE"""),5.0)</f>
        <v>5</v>
      </c>
      <c r="E80" s="59">
        <f>IFERROR(__xludf.DUMMYFUNCTION("""COMPUTED_VALUE"""),5.0)</f>
        <v>5</v>
      </c>
      <c r="F80" s="59">
        <f>IFERROR(__xludf.DUMMYFUNCTION("""COMPUTED_VALUE"""),0.0)</f>
        <v>0</v>
      </c>
      <c r="G80" s="59">
        <f>IFERROR(__xludf.DUMMYFUNCTION("""COMPUTED_VALUE"""),1.0)</f>
        <v>1</v>
      </c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>
      <c r="A81" s="84">
        <f>IFERROR(__xludf.DUMMYFUNCTION("""COMPUTED_VALUE"""),46061.0)</f>
        <v>46061</v>
      </c>
      <c r="B81" s="59" t="str">
        <f>IFERROR(__xludf.DUMMYFUNCTION("""COMPUTED_VALUE"""),"BAJI SNR")</f>
        <v>BAJI SNR</v>
      </c>
      <c r="C81" s="59" t="str">
        <f>IFERROR(__xludf.DUMMYFUNCTION("""COMPUTED_VALUE"""),"BALO K")</f>
        <v>BALO K</v>
      </c>
      <c r="D81" s="59">
        <f>IFERROR(__xludf.DUMMYFUNCTION("""COMPUTED_VALUE"""),2.0)</f>
        <v>2</v>
      </c>
      <c r="E81" s="59">
        <f>IFERROR(__xludf.DUMMYFUNCTION("""COMPUTED_VALUE"""),3.0)</f>
        <v>3</v>
      </c>
      <c r="F81" s="59">
        <f>IFERROR(__xludf.DUMMYFUNCTION("""COMPUTED_VALUE"""),0.0)</f>
        <v>0</v>
      </c>
      <c r="G81" s="59">
        <f>IFERROR(__xludf.DUMMYFUNCTION("""COMPUTED_VALUE"""),0.0)</f>
        <v>0</v>
      </c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>
      <c r="A82" s="84">
        <f>IFERROR(__xludf.DUMMYFUNCTION("""COMPUTED_VALUE"""),46061.0)</f>
        <v>46061</v>
      </c>
      <c r="B82" s="59" t="str">
        <f>IFERROR(__xludf.DUMMYFUNCTION("""COMPUTED_VALUE"""),"WOLEVATION")</f>
        <v>WOLEVATION</v>
      </c>
      <c r="C82" s="59" t="str">
        <f>IFERROR(__xludf.DUMMYFUNCTION("""COMPUTED_VALUE"""),"RHYMEZ")</f>
        <v>RHYMEZ</v>
      </c>
      <c r="D82" s="59">
        <f>IFERROR(__xludf.DUMMYFUNCTION("""COMPUTED_VALUE"""),4.0)</f>
        <v>4</v>
      </c>
      <c r="E82" s="59">
        <f>IFERROR(__xludf.DUMMYFUNCTION("""COMPUTED_VALUE"""),3.0)</f>
        <v>3</v>
      </c>
      <c r="F82" s="59">
        <f>IFERROR(__xludf.DUMMYFUNCTION("""COMPUTED_VALUE"""),1.0)</f>
        <v>1</v>
      </c>
      <c r="G82" s="59">
        <f>IFERROR(__xludf.DUMMYFUNCTION("""COMPUTED_VALUE"""),3.0)</f>
        <v>3</v>
      </c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>
      <c r="A83" s="84">
        <f>IFERROR(__xludf.DUMMYFUNCTION("""COMPUTED_VALUE"""),46061.0)</f>
        <v>46061</v>
      </c>
      <c r="B83" s="59" t="str">
        <f>IFERROR(__xludf.DUMMYFUNCTION("""COMPUTED_VALUE"""),"MR OGA")</f>
        <v>MR OGA</v>
      </c>
      <c r="C83" s="59" t="str">
        <f>IFERROR(__xludf.DUMMYFUNCTION("""COMPUTED_VALUE"""),"TACTICAL")</f>
        <v>TACTICAL</v>
      </c>
      <c r="D83" s="59">
        <f>IFERROR(__xludf.DUMMYFUNCTION("""COMPUTED_VALUE"""),6.0)</f>
        <v>6</v>
      </c>
      <c r="E83" s="59">
        <f>IFERROR(__xludf.DUMMYFUNCTION("""COMPUTED_VALUE"""),4.0)</f>
        <v>4</v>
      </c>
      <c r="F83" s="59">
        <f>IFERROR(__xludf.DUMMYFUNCTION("""COMPUTED_VALUE"""),1.0)</f>
        <v>1</v>
      </c>
      <c r="G83" s="59">
        <f>IFERROR(__xludf.DUMMYFUNCTION("""COMPUTED_VALUE"""),3.0)</f>
        <v>3</v>
      </c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>
      <c r="A84" s="84">
        <f>IFERROR(__xludf.DUMMYFUNCTION("""COMPUTED_VALUE"""),46061.0)</f>
        <v>46061</v>
      </c>
      <c r="B84" s="59" t="str">
        <f>IFERROR(__xludf.DUMMYFUNCTION("""COMPUTED_VALUE"""),"ANIFE")</f>
        <v>ANIFE</v>
      </c>
      <c r="C84" s="59" t="str">
        <f>IFERROR(__xludf.DUMMYFUNCTION("""COMPUTED_VALUE"""),"FLICK")</f>
        <v>FLICK</v>
      </c>
      <c r="D84" s="59">
        <f>IFERROR(__xludf.DUMMYFUNCTION("""COMPUTED_VALUE"""),16.0)</f>
        <v>16</v>
      </c>
      <c r="E84" s="59">
        <f>IFERROR(__xludf.DUMMYFUNCTION("""COMPUTED_VALUE"""),2.0)</f>
        <v>2</v>
      </c>
      <c r="F84" s="59">
        <f>IFERROR(__xludf.DUMMYFUNCTION("""COMPUTED_VALUE"""),1.0)</f>
        <v>1</v>
      </c>
      <c r="G84" s="59">
        <f>IFERROR(__xludf.DUMMYFUNCTION("""COMPUTED_VALUE"""),3.0)</f>
        <v>3</v>
      </c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>
      <c r="A85" s="84">
        <f>IFERROR(__xludf.DUMMYFUNCTION("""COMPUTED_VALUE"""),46061.0)</f>
        <v>46061</v>
      </c>
      <c r="B85" s="59" t="str">
        <f>IFERROR(__xludf.DUMMYFUNCTION("""COMPUTED_VALUE"""),"KHALEEDOY")</f>
        <v>KHALEEDOY</v>
      </c>
      <c r="C85" s="59" t="str">
        <f>IFERROR(__xludf.DUMMYFUNCTION("""COMPUTED_VALUE"""),"SIMPLYY UZO")</f>
        <v>SIMPLYY UZO</v>
      </c>
      <c r="D85" s="59">
        <f>IFERROR(__xludf.DUMMYFUNCTION("""COMPUTED_VALUE"""),7.0)</f>
        <v>7</v>
      </c>
      <c r="E85" s="59">
        <f>IFERROR(__xludf.DUMMYFUNCTION("""COMPUTED_VALUE"""),9.0)</f>
        <v>9</v>
      </c>
      <c r="F85" s="59">
        <f>IFERROR(__xludf.DUMMYFUNCTION("""COMPUTED_VALUE"""),0.0)</f>
        <v>0</v>
      </c>
      <c r="G85" s="59">
        <f>IFERROR(__xludf.DUMMYFUNCTION("""COMPUTED_VALUE"""),0.0)</f>
        <v>0</v>
      </c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>
      <c r="A86" s="84">
        <f>IFERROR(__xludf.DUMMYFUNCTION("""COMPUTED_VALUE"""),46062.0)</f>
        <v>46062</v>
      </c>
      <c r="B86" s="59" t="str">
        <f>IFERROR(__xludf.DUMMYFUNCTION("""COMPUTED_VALUE"""),"KINGNONEX")</f>
        <v>KINGNONEX</v>
      </c>
      <c r="C86" s="59" t="str">
        <f>IFERROR(__xludf.DUMMYFUNCTION("""COMPUTED_VALUE"""),"ANIFE")</f>
        <v>ANIFE</v>
      </c>
      <c r="D86" s="59">
        <f>IFERROR(__xludf.DUMMYFUNCTION("""COMPUTED_VALUE"""),3.0)</f>
        <v>3</v>
      </c>
      <c r="E86" s="59">
        <f>IFERROR(__xludf.DUMMYFUNCTION("""COMPUTED_VALUE"""),2.0)</f>
        <v>2</v>
      </c>
      <c r="F86" s="59">
        <f>IFERROR(__xludf.DUMMYFUNCTION("""COMPUTED_VALUE"""),1.0)</f>
        <v>1</v>
      </c>
      <c r="G86" s="59">
        <f>IFERROR(__xludf.DUMMYFUNCTION("""COMPUTED_VALUE"""),3.0)</f>
        <v>3</v>
      </c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>
      <c r="A87" s="84">
        <f>IFERROR(__xludf.DUMMYFUNCTION("""COMPUTED_VALUE"""),46062.0)</f>
        <v>46062</v>
      </c>
      <c r="B87" s="59" t="str">
        <f>IFERROR(__xludf.DUMMYFUNCTION("""COMPUTED_VALUE"""),"BALO K")</f>
        <v>BALO K</v>
      </c>
      <c r="C87" s="59" t="str">
        <f>IFERROR(__xludf.DUMMYFUNCTION("""COMPUTED_VALUE"""),"SIMPLYY UZO")</f>
        <v>SIMPLYY UZO</v>
      </c>
      <c r="D87" s="59">
        <f>IFERROR(__xludf.DUMMYFUNCTION("""COMPUTED_VALUE"""),9.0)</f>
        <v>9</v>
      </c>
      <c r="E87" s="59">
        <f>IFERROR(__xludf.DUMMYFUNCTION("""COMPUTED_VALUE"""),8.0)</f>
        <v>8</v>
      </c>
      <c r="F87" s="59">
        <f>IFERROR(__xludf.DUMMYFUNCTION("""COMPUTED_VALUE"""),1.0)</f>
        <v>1</v>
      </c>
      <c r="G87" s="59">
        <f>IFERROR(__xludf.DUMMYFUNCTION("""COMPUTED_VALUE"""),3.0)</f>
        <v>3</v>
      </c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>
      <c r="A88" s="84">
        <f>IFERROR(__xludf.DUMMYFUNCTION("""COMPUTED_VALUE"""),46062.0)</f>
        <v>46062</v>
      </c>
      <c r="B88" s="59" t="str">
        <f>IFERROR(__xludf.DUMMYFUNCTION("""COMPUTED_VALUE"""),"GURU")</f>
        <v>GURU</v>
      </c>
      <c r="C88" s="59" t="str">
        <f>IFERROR(__xludf.DUMMYFUNCTION("""COMPUTED_VALUE"""),"BRIGHT")</f>
        <v>BRIGHT</v>
      </c>
      <c r="D88" s="59">
        <f>IFERROR(__xludf.DUMMYFUNCTION("""COMPUTED_VALUE"""),6.0)</f>
        <v>6</v>
      </c>
      <c r="E88" s="59">
        <f>IFERROR(__xludf.DUMMYFUNCTION("""COMPUTED_VALUE"""),6.0)</f>
        <v>6</v>
      </c>
      <c r="F88" s="59">
        <f>IFERROR(__xludf.DUMMYFUNCTION("""COMPUTED_VALUE"""),0.0)</f>
        <v>0</v>
      </c>
      <c r="G88" s="59">
        <f>IFERROR(__xludf.DUMMYFUNCTION("""COMPUTED_VALUE"""),1.0)</f>
        <v>1</v>
      </c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>
      <c r="A89" s="84">
        <f>IFERROR(__xludf.DUMMYFUNCTION("""COMPUTED_VALUE"""),46062.0)</f>
        <v>46062</v>
      </c>
      <c r="B89" s="59" t="str">
        <f>IFERROR(__xludf.DUMMYFUNCTION("""COMPUTED_VALUE"""),"DRACARYS")</f>
        <v>DRACARYS</v>
      </c>
      <c r="C89" s="59" t="str">
        <f>IFERROR(__xludf.DUMMYFUNCTION("""COMPUTED_VALUE"""),"DADABOI")</f>
        <v>DADABOI</v>
      </c>
      <c r="D89" s="59">
        <f>IFERROR(__xludf.DUMMYFUNCTION("""COMPUTED_VALUE"""),3.0)</f>
        <v>3</v>
      </c>
      <c r="E89" s="59">
        <f>IFERROR(__xludf.DUMMYFUNCTION("""COMPUTED_VALUE"""),3.0)</f>
        <v>3</v>
      </c>
      <c r="F89" s="59">
        <f>IFERROR(__xludf.DUMMYFUNCTION("""COMPUTED_VALUE"""),0.0)</f>
        <v>0</v>
      </c>
      <c r="G89" s="59">
        <f>IFERROR(__xludf.DUMMYFUNCTION("""COMPUTED_VALUE"""),1.0)</f>
        <v>1</v>
      </c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>
      <c r="A90" s="84">
        <f>IFERROR(__xludf.DUMMYFUNCTION("""COMPUTED_VALUE"""),46062.0)</f>
        <v>46062</v>
      </c>
      <c r="B90" s="59" t="str">
        <f>IFERROR(__xludf.DUMMYFUNCTION("""COMPUTED_VALUE"""),"SON OF GOD")</f>
        <v>SON OF GOD</v>
      </c>
      <c r="C90" s="59" t="str">
        <f>IFERROR(__xludf.DUMMYFUNCTION("""COMPUTED_VALUE"""),"KAYKAY")</f>
        <v>KAYKAY</v>
      </c>
      <c r="D90" s="59">
        <f>IFERROR(__xludf.DUMMYFUNCTION("""COMPUTED_VALUE"""),5.0)</f>
        <v>5</v>
      </c>
      <c r="E90" s="59">
        <f>IFERROR(__xludf.DUMMYFUNCTION("""COMPUTED_VALUE"""),13.0)</f>
        <v>13</v>
      </c>
      <c r="F90" s="59">
        <f>IFERROR(__xludf.DUMMYFUNCTION("""COMPUTED_VALUE"""),0.0)</f>
        <v>0</v>
      </c>
      <c r="G90" s="59">
        <f>IFERROR(__xludf.DUMMYFUNCTION("""COMPUTED_VALUE"""),0.0)</f>
        <v>0</v>
      </c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>
      <c r="A91" s="84">
        <f>IFERROR(__xludf.DUMMYFUNCTION("""COMPUTED_VALUE"""),46062.0)</f>
        <v>46062</v>
      </c>
      <c r="B91" s="59" t="str">
        <f>IFERROR(__xludf.DUMMYFUNCTION("""COMPUTED_VALUE"""),"FLICK")</f>
        <v>FLICK</v>
      </c>
      <c r="C91" s="59" t="str">
        <f>IFERROR(__xludf.DUMMYFUNCTION("""COMPUTED_VALUE"""),"MR OGA")</f>
        <v>MR OGA</v>
      </c>
      <c r="D91" s="59">
        <f>IFERROR(__xludf.DUMMYFUNCTION("""COMPUTED_VALUE"""),1.0)</f>
        <v>1</v>
      </c>
      <c r="E91" s="59">
        <f>IFERROR(__xludf.DUMMYFUNCTION("""COMPUTED_VALUE"""),8.0)</f>
        <v>8</v>
      </c>
      <c r="F91" s="59">
        <f>IFERROR(__xludf.DUMMYFUNCTION("""COMPUTED_VALUE"""),0.0)</f>
        <v>0</v>
      </c>
      <c r="G91" s="59">
        <f>IFERROR(__xludf.DUMMYFUNCTION("""COMPUTED_VALUE"""),0.0)</f>
        <v>0</v>
      </c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>
      <c r="A92" s="84">
        <f>IFERROR(__xludf.DUMMYFUNCTION("""COMPUTED_VALUE"""),46062.0)</f>
        <v>46062</v>
      </c>
      <c r="B92" s="59" t="str">
        <f>IFERROR(__xludf.DUMMYFUNCTION("""COMPUTED_VALUE"""),"TACTICAL")</f>
        <v>TACTICAL</v>
      </c>
      <c r="C92" s="59" t="str">
        <f>IFERROR(__xludf.DUMMYFUNCTION("""COMPUTED_VALUE"""),"ANIFE")</f>
        <v>ANIFE</v>
      </c>
      <c r="D92" s="59">
        <f>IFERROR(__xludf.DUMMYFUNCTION("""COMPUTED_VALUE"""),5.0)</f>
        <v>5</v>
      </c>
      <c r="E92" s="59">
        <f>IFERROR(__xludf.DUMMYFUNCTION("""COMPUTED_VALUE"""),4.0)</f>
        <v>4</v>
      </c>
      <c r="F92" s="59">
        <f>IFERROR(__xludf.DUMMYFUNCTION("""COMPUTED_VALUE"""),1.0)</f>
        <v>1</v>
      </c>
      <c r="G92" s="59">
        <f>IFERROR(__xludf.DUMMYFUNCTION("""COMPUTED_VALUE"""),3.0)</f>
        <v>3</v>
      </c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>
      <c r="A93" s="84">
        <f>IFERROR(__xludf.DUMMYFUNCTION("""COMPUTED_VALUE"""),46062.0)</f>
        <v>46062</v>
      </c>
      <c r="B93" s="59" t="str">
        <f>IFERROR(__xludf.DUMMYFUNCTION("""COMPUTED_VALUE"""),"BAJI SNR")</f>
        <v>BAJI SNR</v>
      </c>
      <c r="C93" s="59" t="str">
        <f>IFERROR(__xludf.DUMMYFUNCTION("""COMPUTED_VALUE"""),"KHALEEDOY")</f>
        <v>KHALEEDOY</v>
      </c>
      <c r="D93" s="59">
        <f>IFERROR(__xludf.DUMMYFUNCTION("""COMPUTED_VALUE"""),5.0)</f>
        <v>5</v>
      </c>
      <c r="E93" s="59">
        <f>IFERROR(__xludf.DUMMYFUNCTION("""COMPUTED_VALUE"""),10.0)</f>
        <v>10</v>
      </c>
      <c r="F93" s="59">
        <f>IFERROR(__xludf.DUMMYFUNCTION("""COMPUTED_VALUE"""),0.0)</f>
        <v>0</v>
      </c>
      <c r="G93" s="59">
        <f>IFERROR(__xludf.DUMMYFUNCTION("""COMPUTED_VALUE"""),0.0)</f>
        <v>0</v>
      </c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>
      <c r="A94" s="84">
        <f>IFERROR(__xludf.DUMMYFUNCTION("""COMPUTED_VALUE"""),46062.0)</f>
        <v>46062</v>
      </c>
      <c r="B94" s="59" t="str">
        <f>IFERROR(__xludf.DUMMYFUNCTION("""COMPUTED_VALUE"""),"BLAISE99")</f>
        <v>BLAISE99</v>
      </c>
      <c r="C94" s="59" t="str">
        <f>IFERROR(__xludf.DUMMYFUNCTION("""COMPUTED_VALUE"""),"SON OF GOD")</f>
        <v>SON OF GOD</v>
      </c>
      <c r="D94" s="59">
        <f>IFERROR(__xludf.DUMMYFUNCTION("""COMPUTED_VALUE"""),0.0)</f>
        <v>0</v>
      </c>
      <c r="E94" s="59">
        <f>IFERROR(__xludf.DUMMYFUNCTION("""COMPUTED_VALUE"""),3.0)</f>
        <v>3</v>
      </c>
      <c r="F94" s="59">
        <f>IFERROR(__xludf.DUMMYFUNCTION("""COMPUTED_VALUE"""),0.0)</f>
        <v>0</v>
      </c>
      <c r="G94" s="59">
        <f>IFERROR(__xludf.DUMMYFUNCTION("""COMPUTED_VALUE"""),0.0)</f>
        <v>0</v>
      </c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>
      <c r="A95" s="84">
        <f>IFERROR(__xludf.DUMMYFUNCTION("""COMPUTED_VALUE"""),46062.0)</f>
        <v>46062</v>
      </c>
      <c r="B95" s="59" t="str">
        <f>IFERROR(__xludf.DUMMYFUNCTION("""COMPUTED_VALUE"""),"TACTICAL")</f>
        <v>TACTICAL</v>
      </c>
      <c r="C95" s="59" t="str">
        <f>IFERROR(__xludf.DUMMYFUNCTION("""COMPUTED_VALUE"""),"GAMEWITHJOSH")</f>
        <v>GAMEWITHJOSH</v>
      </c>
      <c r="D95" s="59">
        <f>IFERROR(__xludf.DUMMYFUNCTION("""COMPUTED_VALUE"""),8.0)</f>
        <v>8</v>
      </c>
      <c r="E95" s="59">
        <f>IFERROR(__xludf.DUMMYFUNCTION("""COMPUTED_VALUE"""),8.0)</f>
        <v>8</v>
      </c>
      <c r="F95" s="59">
        <f>IFERROR(__xludf.DUMMYFUNCTION("""COMPUTED_VALUE"""),0.0)</f>
        <v>0</v>
      </c>
      <c r="G95" s="59">
        <f>IFERROR(__xludf.DUMMYFUNCTION("""COMPUTED_VALUE"""),1.0)</f>
        <v>1</v>
      </c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>
      <c r="A96" s="84">
        <f>IFERROR(__xludf.DUMMYFUNCTION("""COMPUTED_VALUE"""),46062.0)</f>
        <v>46062</v>
      </c>
      <c r="B96" s="59" t="str">
        <f>IFERROR(__xludf.DUMMYFUNCTION("""COMPUTED_VALUE"""),"KINGNONEX")</f>
        <v>KINGNONEX</v>
      </c>
      <c r="C96" s="59" t="str">
        <f>IFERROR(__xludf.DUMMYFUNCTION("""COMPUTED_VALUE"""),"BAJI SNR")</f>
        <v>BAJI SNR</v>
      </c>
      <c r="D96" s="59">
        <f>IFERROR(__xludf.DUMMYFUNCTION("""COMPUTED_VALUE"""),4.0)</f>
        <v>4</v>
      </c>
      <c r="E96" s="59">
        <f>IFERROR(__xludf.DUMMYFUNCTION("""COMPUTED_VALUE"""),1.0)</f>
        <v>1</v>
      </c>
      <c r="F96" s="59">
        <f>IFERROR(__xludf.DUMMYFUNCTION("""COMPUTED_VALUE"""),1.0)</f>
        <v>1</v>
      </c>
      <c r="G96" s="59">
        <f>IFERROR(__xludf.DUMMYFUNCTION("""COMPUTED_VALUE"""),3.0)</f>
        <v>3</v>
      </c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>
      <c r="A97" s="84">
        <f>IFERROR(__xludf.DUMMYFUNCTION("""COMPUTED_VALUE"""),46062.0)</f>
        <v>46062</v>
      </c>
      <c r="B97" s="59" t="str">
        <f>IFERROR(__xludf.DUMMYFUNCTION("""COMPUTED_VALUE"""),"BALO K")</f>
        <v>BALO K</v>
      </c>
      <c r="C97" s="59" t="str">
        <f>IFERROR(__xludf.DUMMYFUNCTION("""COMPUTED_VALUE"""),"RHYMEZ")</f>
        <v>RHYMEZ</v>
      </c>
      <c r="D97" s="59">
        <f>IFERROR(__xludf.DUMMYFUNCTION("""COMPUTED_VALUE"""),6.0)</f>
        <v>6</v>
      </c>
      <c r="E97" s="59">
        <f>IFERROR(__xludf.DUMMYFUNCTION("""COMPUTED_VALUE"""),5.0)</f>
        <v>5</v>
      </c>
      <c r="F97" s="59">
        <f>IFERROR(__xludf.DUMMYFUNCTION("""COMPUTED_VALUE"""),1.0)</f>
        <v>1</v>
      </c>
      <c r="G97" s="59">
        <f>IFERROR(__xludf.DUMMYFUNCTION("""COMPUTED_VALUE"""),3.0)</f>
        <v>3</v>
      </c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>
      <c r="A98" s="84">
        <f>IFERROR(__xludf.DUMMYFUNCTION("""COMPUTED_VALUE"""),46069.0)</f>
        <v>46069</v>
      </c>
      <c r="B98" s="59" t="str">
        <f>IFERROR(__xludf.DUMMYFUNCTION("""COMPUTED_VALUE"""),"MR OGA")</f>
        <v>MR OGA</v>
      </c>
      <c r="C98" s="59" t="str">
        <f>IFERROR(__xludf.DUMMYFUNCTION("""COMPUTED_VALUE"""),"GURU")</f>
        <v>GURU</v>
      </c>
      <c r="D98" s="59">
        <f>IFERROR(__xludf.DUMMYFUNCTION("""COMPUTED_VALUE"""),5.0)</f>
        <v>5</v>
      </c>
      <c r="E98" s="59">
        <f>IFERROR(__xludf.DUMMYFUNCTION("""COMPUTED_VALUE"""),5.0)</f>
        <v>5</v>
      </c>
      <c r="F98" s="59">
        <f>IFERROR(__xludf.DUMMYFUNCTION("""COMPUTED_VALUE"""),0.0)</f>
        <v>0</v>
      </c>
      <c r="G98" s="59">
        <f>IFERROR(__xludf.DUMMYFUNCTION("""COMPUTED_VALUE"""),1.0)</f>
        <v>1</v>
      </c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>
      <c r="A99" s="84">
        <f>IFERROR(__xludf.DUMMYFUNCTION("""COMPUTED_VALUE"""),46069.0)</f>
        <v>46069</v>
      </c>
      <c r="B99" s="59" t="str">
        <f>IFERROR(__xludf.DUMMYFUNCTION("""COMPUTED_VALUE"""),"BLAISE99")</f>
        <v>BLAISE99</v>
      </c>
      <c r="C99" s="59" t="str">
        <f>IFERROR(__xludf.DUMMYFUNCTION("""COMPUTED_VALUE"""),"TACTICAL")</f>
        <v>TACTICAL</v>
      </c>
      <c r="D99" s="59">
        <f>IFERROR(__xludf.DUMMYFUNCTION("""COMPUTED_VALUE"""),5.0)</f>
        <v>5</v>
      </c>
      <c r="E99" s="59">
        <f>IFERROR(__xludf.DUMMYFUNCTION("""COMPUTED_VALUE"""),8.0)</f>
        <v>8</v>
      </c>
      <c r="F99" s="59">
        <f>IFERROR(__xludf.DUMMYFUNCTION("""COMPUTED_VALUE"""),0.0)</f>
        <v>0</v>
      </c>
      <c r="G99" s="59">
        <f>IFERROR(__xludf.DUMMYFUNCTION("""COMPUTED_VALUE"""),0.0)</f>
        <v>0</v>
      </c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>
      <c r="A100" s="84">
        <f>IFERROR(__xludf.DUMMYFUNCTION("""COMPUTED_VALUE"""),46069.0)</f>
        <v>46069</v>
      </c>
      <c r="B100" s="59" t="str">
        <f>IFERROR(__xludf.DUMMYFUNCTION("""COMPUTED_VALUE"""),"RHYMEZ")</f>
        <v>RHYMEZ</v>
      </c>
      <c r="C100" s="59" t="str">
        <f>IFERROR(__xludf.DUMMYFUNCTION("""COMPUTED_VALUE"""),"KHALEEDOY")</f>
        <v>KHALEEDOY</v>
      </c>
      <c r="D100" s="59">
        <f>IFERROR(__xludf.DUMMYFUNCTION("""COMPUTED_VALUE"""),3.0)</f>
        <v>3</v>
      </c>
      <c r="E100" s="59">
        <f>IFERROR(__xludf.DUMMYFUNCTION("""COMPUTED_VALUE"""),4.0)</f>
        <v>4</v>
      </c>
      <c r="F100" s="59">
        <f>IFERROR(__xludf.DUMMYFUNCTION("""COMPUTED_VALUE"""),0.0)</f>
        <v>0</v>
      </c>
      <c r="G100" s="59">
        <f>IFERROR(__xludf.DUMMYFUNCTION("""COMPUTED_VALUE"""),0.0)</f>
        <v>0</v>
      </c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>
      <c r="A101" s="84">
        <f>IFERROR(__xludf.DUMMYFUNCTION("""COMPUTED_VALUE"""),46069.0)</f>
        <v>46069</v>
      </c>
      <c r="B101" s="59" t="str">
        <f>IFERROR(__xludf.DUMMYFUNCTION("""COMPUTED_VALUE"""),"GAMEWITHJOSH")</f>
        <v>GAMEWITHJOSH</v>
      </c>
      <c r="C101" s="59" t="str">
        <f>IFERROR(__xludf.DUMMYFUNCTION("""COMPUTED_VALUE"""),"WOLEVATION")</f>
        <v>WOLEVATION</v>
      </c>
      <c r="D101" s="59">
        <f>IFERROR(__xludf.DUMMYFUNCTION("""COMPUTED_VALUE"""),6.0)</f>
        <v>6</v>
      </c>
      <c r="E101" s="59">
        <f>IFERROR(__xludf.DUMMYFUNCTION("""COMPUTED_VALUE"""),5.0)</f>
        <v>5</v>
      </c>
      <c r="F101" s="59">
        <f>IFERROR(__xludf.DUMMYFUNCTION("""COMPUTED_VALUE"""),1.0)</f>
        <v>1</v>
      </c>
      <c r="G101" s="59">
        <f>IFERROR(__xludf.DUMMYFUNCTION("""COMPUTED_VALUE"""),3.0)</f>
        <v>3</v>
      </c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>
      <c r="A102" s="84">
        <f>IFERROR(__xludf.DUMMYFUNCTION("""COMPUTED_VALUE"""),46069.0)</f>
        <v>46069</v>
      </c>
      <c r="B102" s="59" t="str">
        <f>IFERROR(__xludf.DUMMYFUNCTION("""COMPUTED_VALUE"""),"KAYKAY")</f>
        <v>KAYKAY</v>
      </c>
      <c r="C102" s="59" t="str">
        <f>IFERROR(__xludf.DUMMYFUNCTION("""COMPUTED_VALUE"""),"KINGNONEX")</f>
        <v>KINGNONEX</v>
      </c>
      <c r="D102" s="59">
        <f>IFERROR(__xludf.DUMMYFUNCTION("""COMPUTED_VALUE"""),4.0)</f>
        <v>4</v>
      </c>
      <c r="E102" s="59">
        <f>IFERROR(__xludf.DUMMYFUNCTION("""COMPUTED_VALUE"""),4.0)</f>
        <v>4</v>
      </c>
      <c r="F102" s="59">
        <f>IFERROR(__xludf.DUMMYFUNCTION("""COMPUTED_VALUE"""),0.0)</f>
        <v>0</v>
      </c>
      <c r="G102" s="59">
        <f>IFERROR(__xludf.DUMMYFUNCTION("""COMPUTED_VALUE"""),1.0)</f>
        <v>1</v>
      </c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>
      <c r="A103" s="84">
        <f>IFERROR(__xludf.DUMMYFUNCTION("""COMPUTED_VALUE"""),46069.0)</f>
        <v>46069</v>
      </c>
      <c r="B103" s="59" t="str">
        <f>IFERROR(__xludf.DUMMYFUNCTION("""COMPUTED_VALUE"""),"SON OF GOD")</f>
        <v>SON OF GOD</v>
      </c>
      <c r="C103" s="59" t="str">
        <f>IFERROR(__xludf.DUMMYFUNCTION("""COMPUTED_VALUE"""),"ANIFE")</f>
        <v>ANIFE</v>
      </c>
      <c r="D103" s="59">
        <f>IFERROR(__xludf.DUMMYFUNCTION("""COMPUTED_VALUE"""),4.0)</f>
        <v>4</v>
      </c>
      <c r="E103" s="59">
        <f>IFERROR(__xludf.DUMMYFUNCTION("""COMPUTED_VALUE"""),5.0)</f>
        <v>5</v>
      </c>
      <c r="F103" s="59">
        <f>IFERROR(__xludf.DUMMYFUNCTION("""COMPUTED_VALUE"""),0.0)</f>
        <v>0</v>
      </c>
      <c r="G103" s="59">
        <f>IFERROR(__xludf.DUMMYFUNCTION("""COMPUTED_VALUE"""),0.0)</f>
        <v>0</v>
      </c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>
      <c r="A104" s="84">
        <f>IFERROR(__xludf.DUMMYFUNCTION("""COMPUTED_VALUE"""),46069.0)</f>
        <v>46069</v>
      </c>
      <c r="B104" s="59" t="str">
        <f>IFERROR(__xludf.DUMMYFUNCTION("""COMPUTED_VALUE"""),"RHYMEZ")</f>
        <v>RHYMEZ</v>
      </c>
      <c r="C104" s="59" t="str">
        <f>IFERROR(__xludf.DUMMYFUNCTION("""COMPUTED_VALUE"""),"GURU")</f>
        <v>GURU</v>
      </c>
      <c r="D104" s="59">
        <f>IFERROR(__xludf.DUMMYFUNCTION("""COMPUTED_VALUE"""),3.0)</f>
        <v>3</v>
      </c>
      <c r="E104" s="59">
        <f>IFERROR(__xludf.DUMMYFUNCTION("""COMPUTED_VALUE"""),6.0)</f>
        <v>6</v>
      </c>
      <c r="F104" s="59">
        <f>IFERROR(__xludf.DUMMYFUNCTION("""COMPUTED_VALUE"""),0.0)</f>
        <v>0</v>
      </c>
      <c r="G104" s="59">
        <f>IFERROR(__xludf.DUMMYFUNCTION("""COMPUTED_VALUE"""),0.0)</f>
        <v>0</v>
      </c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>
      <c r="A105" s="84">
        <f>IFERROR(__xludf.DUMMYFUNCTION("""COMPUTED_VALUE"""),46069.0)</f>
        <v>46069</v>
      </c>
      <c r="B105" s="59" t="str">
        <f>IFERROR(__xludf.DUMMYFUNCTION("""COMPUTED_VALUE"""),"SIMPLYY UZO")</f>
        <v>SIMPLYY UZO</v>
      </c>
      <c r="C105" s="59" t="str">
        <f>IFERROR(__xludf.DUMMYFUNCTION("""COMPUTED_VALUE"""),"YEMOLEE")</f>
        <v>YEMOLEE</v>
      </c>
      <c r="D105" s="59">
        <f>IFERROR(__xludf.DUMMYFUNCTION("""COMPUTED_VALUE"""),5.0)</f>
        <v>5</v>
      </c>
      <c r="E105" s="59">
        <f>IFERROR(__xludf.DUMMYFUNCTION("""COMPUTED_VALUE"""),7.0)</f>
        <v>7</v>
      </c>
      <c r="F105" s="59">
        <f>IFERROR(__xludf.DUMMYFUNCTION("""COMPUTED_VALUE"""),0.0)</f>
        <v>0</v>
      </c>
      <c r="G105" s="59">
        <f>IFERROR(__xludf.DUMMYFUNCTION("""COMPUTED_VALUE"""),0.0)</f>
        <v>0</v>
      </c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>
      <c r="A106" s="84">
        <f>IFERROR(__xludf.DUMMYFUNCTION("""COMPUTED_VALUE"""),46069.0)</f>
        <v>46069</v>
      </c>
      <c r="B106" s="59" t="str">
        <f>IFERROR(__xludf.DUMMYFUNCTION("""COMPUTED_VALUE"""),"DADABOI")</f>
        <v>DADABOI</v>
      </c>
      <c r="C106" s="59" t="str">
        <f>IFERROR(__xludf.DUMMYFUNCTION("""COMPUTED_VALUE"""),"FLICK")</f>
        <v>FLICK</v>
      </c>
      <c r="D106" s="59">
        <f>IFERROR(__xludf.DUMMYFUNCTION("""COMPUTED_VALUE"""),9.0)</f>
        <v>9</v>
      </c>
      <c r="E106" s="59">
        <f>IFERROR(__xludf.DUMMYFUNCTION("""COMPUTED_VALUE"""),3.0)</f>
        <v>3</v>
      </c>
      <c r="F106" s="59">
        <f>IFERROR(__xludf.DUMMYFUNCTION("""COMPUTED_VALUE"""),1.0)</f>
        <v>1</v>
      </c>
      <c r="G106" s="59">
        <f>IFERROR(__xludf.DUMMYFUNCTION("""COMPUTED_VALUE"""),3.0)</f>
        <v>3</v>
      </c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>
      <c r="A107" s="84">
        <f>IFERROR(__xludf.DUMMYFUNCTION("""COMPUTED_VALUE"""),46069.0)</f>
        <v>46069</v>
      </c>
      <c r="B107" s="59" t="str">
        <f>IFERROR(__xludf.DUMMYFUNCTION("""COMPUTED_VALUE"""),"ANIFE")</f>
        <v>ANIFE</v>
      </c>
      <c r="C107" s="59" t="str">
        <f>IFERROR(__xludf.DUMMYFUNCTION("""COMPUTED_VALUE"""),"BALO K")</f>
        <v>BALO K</v>
      </c>
      <c r="D107" s="59">
        <f>IFERROR(__xludf.DUMMYFUNCTION("""COMPUTED_VALUE"""),12.0)</f>
        <v>12</v>
      </c>
      <c r="E107" s="59">
        <f>IFERROR(__xludf.DUMMYFUNCTION("""COMPUTED_VALUE"""),3.0)</f>
        <v>3</v>
      </c>
      <c r="F107" s="59">
        <f>IFERROR(__xludf.DUMMYFUNCTION("""COMPUTED_VALUE"""),1.0)</f>
        <v>1</v>
      </c>
      <c r="G107" s="59">
        <f>IFERROR(__xludf.DUMMYFUNCTION("""COMPUTED_VALUE"""),3.0)</f>
        <v>3</v>
      </c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>
      <c r="A108" s="84">
        <f>IFERROR(__xludf.DUMMYFUNCTION("""COMPUTED_VALUE"""),46069.0)</f>
        <v>46069</v>
      </c>
      <c r="B108" s="59" t="str">
        <f>IFERROR(__xludf.DUMMYFUNCTION("""COMPUTED_VALUE"""),"DRACARYS")</f>
        <v>DRACARYS</v>
      </c>
      <c r="C108" s="59" t="str">
        <f>IFERROR(__xludf.DUMMYFUNCTION("""COMPUTED_VALUE"""),"GAMEWITHJOSH")</f>
        <v>GAMEWITHJOSH</v>
      </c>
      <c r="D108" s="59">
        <f>IFERROR(__xludf.DUMMYFUNCTION("""COMPUTED_VALUE"""),5.0)</f>
        <v>5</v>
      </c>
      <c r="E108" s="59">
        <f>IFERROR(__xludf.DUMMYFUNCTION("""COMPUTED_VALUE"""),4.0)</f>
        <v>4</v>
      </c>
      <c r="F108" s="59">
        <f>IFERROR(__xludf.DUMMYFUNCTION("""COMPUTED_VALUE"""),1.0)</f>
        <v>1</v>
      </c>
      <c r="G108" s="59">
        <f>IFERROR(__xludf.DUMMYFUNCTION("""COMPUTED_VALUE"""),3.0)</f>
        <v>3</v>
      </c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>
      <c r="A109" s="84">
        <f>IFERROR(__xludf.DUMMYFUNCTION("""COMPUTED_VALUE"""),46069.0)</f>
        <v>46069</v>
      </c>
      <c r="B109" s="59" t="str">
        <f>IFERROR(__xludf.DUMMYFUNCTION("""COMPUTED_VALUE"""),"MR OGA")</f>
        <v>MR OGA</v>
      </c>
      <c r="C109" s="59" t="str">
        <f>IFERROR(__xludf.DUMMYFUNCTION("""COMPUTED_VALUE"""),"KHALEEDOY")</f>
        <v>KHALEEDOY</v>
      </c>
      <c r="D109" s="59">
        <f>IFERROR(__xludf.DUMMYFUNCTION("""COMPUTED_VALUE"""),6.0)</f>
        <v>6</v>
      </c>
      <c r="E109" s="59">
        <f>IFERROR(__xludf.DUMMYFUNCTION("""COMPUTED_VALUE"""),2.0)</f>
        <v>2</v>
      </c>
      <c r="F109" s="59">
        <f>IFERROR(__xludf.DUMMYFUNCTION("""COMPUTED_VALUE"""),1.0)</f>
        <v>1</v>
      </c>
      <c r="G109" s="59">
        <f>IFERROR(__xludf.DUMMYFUNCTION("""COMPUTED_VALUE"""),3.0)</f>
        <v>3</v>
      </c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>
      <c r="A110" s="84">
        <f>IFERROR(__xludf.DUMMYFUNCTION("""COMPUTED_VALUE"""),46074.0)</f>
        <v>46074</v>
      </c>
      <c r="B110" s="59" t="str">
        <f>IFERROR(__xludf.DUMMYFUNCTION("""COMPUTED_VALUE"""),"GURU")</f>
        <v>GURU</v>
      </c>
      <c r="C110" s="59" t="str">
        <f>IFERROR(__xludf.DUMMYFUNCTION("""COMPUTED_VALUE"""),"TACTICAL")</f>
        <v>TACTICAL</v>
      </c>
      <c r="D110" s="59">
        <f>IFERROR(__xludf.DUMMYFUNCTION("""COMPUTED_VALUE"""),3.0)</f>
        <v>3</v>
      </c>
      <c r="E110" s="59">
        <f>IFERROR(__xludf.DUMMYFUNCTION("""COMPUTED_VALUE"""),5.0)</f>
        <v>5</v>
      </c>
      <c r="F110" s="59">
        <f>IFERROR(__xludf.DUMMYFUNCTION("""COMPUTED_VALUE"""),0.0)</f>
        <v>0</v>
      </c>
      <c r="G110" s="59">
        <f>IFERROR(__xludf.DUMMYFUNCTION("""COMPUTED_VALUE"""),0.0)</f>
        <v>0</v>
      </c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>
      <c r="A111" s="84">
        <f>IFERROR(__xludf.DUMMYFUNCTION("""COMPUTED_VALUE"""),46074.0)</f>
        <v>46074</v>
      </c>
      <c r="B111" s="59" t="str">
        <f>IFERROR(__xludf.DUMMYFUNCTION("""COMPUTED_VALUE"""),"BLAISE99")</f>
        <v>BLAISE99</v>
      </c>
      <c r="C111" s="59" t="str">
        <f>IFERROR(__xludf.DUMMYFUNCTION("""COMPUTED_VALUE"""),"DADABOI")</f>
        <v>DADABOI</v>
      </c>
      <c r="D111" s="59">
        <f>IFERROR(__xludf.DUMMYFUNCTION("""COMPUTED_VALUE"""),0.0)</f>
        <v>0</v>
      </c>
      <c r="E111" s="59">
        <f>IFERROR(__xludf.DUMMYFUNCTION("""COMPUTED_VALUE"""),3.0)</f>
        <v>3</v>
      </c>
      <c r="F111" s="59">
        <f>IFERROR(__xludf.DUMMYFUNCTION("""COMPUTED_VALUE"""),0.0)</f>
        <v>0</v>
      </c>
      <c r="G111" s="59">
        <f>IFERROR(__xludf.DUMMYFUNCTION("""COMPUTED_VALUE"""),0.0)</f>
        <v>0</v>
      </c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>
      <c r="A112" s="84">
        <f>IFERROR(__xludf.DUMMYFUNCTION("""COMPUTED_VALUE"""),46074.0)</f>
        <v>46074</v>
      </c>
      <c r="B112" s="59" t="str">
        <f>IFERROR(__xludf.DUMMYFUNCTION("""COMPUTED_VALUE"""),"MR OGA")</f>
        <v>MR OGA</v>
      </c>
      <c r="C112" s="59" t="str">
        <f>IFERROR(__xludf.DUMMYFUNCTION("""COMPUTED_VALUE"""),"KAYKAY")</f>
        <v>KAYKAY</v>
      </c>
      <c r="D112" s="59">
        <f>IFERROR(__xludf.DUMMYFUNCTION("""COMPUTED_VALUE"""),5.0)</f>
        <v>5</v>
      </c>
      <c r="E112" s="59">
        <f>IFERROR(__xludf.DUMMYFUNCTION("""COMPUTED_VALUE"""),8.0)</f>
        <v>8</v>
      </c>
      <c r="F112" s="59">
        <f>IFERROR(__xludf.DUMMYFUNCTION("""COMPUTED_VALUE"""),0.0)</f>
        <v>0</v>
      </c>
      <c r="G112" s="59">
        <f>IFERROR(__xludf.DUMMYFUNCTION("""COMPUTED_VALUE"""),0.0)</f>
        <v>0</v>
      </c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>
      <c r="A113" s="84">
        <f>IFERROR(__xludf.DUMMYFUNCTION("""COMPUTED_VALUE"""),46074.0)</f>
        <v>46074</v>
      </c>
      <c r="B113" s="59" t="str">
        <f>IFERROR(__xludf.DUMMYFUNCTION("""COMPUTED_VALUE"""),"BAJI SNR")</f>
        <v>BAJI SNR</v>
      </c>
      <c r="C113" s="59" t="str">
        <f>IFERROR(__xludf.DUMMYFUNCTION("""COMPUTED_VALUE"""),"SIMPLYY UZO")</f>
        <v>SIMPLYY UZO</v>
      </c>
      <c r="D113" s="59">
        <f>IFERROR(__xludf.DUMMYFUNCTION("""COMPUTED_VALUE"""),3.0)</f>
        <v>3</v>
      </c>
      <c r="E113" s="59">
        <f>IFERROR(__xludf.DUMMYFUNCTION("""COMPUTED_VALUE"""),0.0)</f>
        <v>0</v>
      </c>
      <c r="F113" s="59">
        <f>IFERROR(__xludf.DUMMYFUNCTION("""COMPUTED_VALUE"""),1.0)</f>
        <v>1</v>
      </c>
      <c r="G113" s="59">
        <f>IFERROR(__xludf.DUMMYFUNCTION("""COMPUTED_VALUE"""),3.0)</f>
        <v>3</v>
      </c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>
      <c r="A114" s="84">
        <f>IFERROR(__xludf.DUMMYFUNCTION("""COMPUTED_VALUE"""),46074.0)</f>
        <v>46074</v>
      </c>
      <c r="B114" s="59" t="str">
        <f>IFERROR(__xludf.DUMMYFUNCTION("""COMPUTED_VALUE"""),"YEMOLEE")</f>
        <v>YEMOLEE</v>
      </c>
      <c r="C114" s="59" t="str">
        <f>IFERROR(__xludf.DUMMYFUNCTION("""COMPUTED_VALUE"""),"KHALEEDOY")</f>
        <v>KHALEEDOY</v>
      </c>
      <c r="D114" s="59">
        <f>IFERROR(__xludf.DUMMYFUNCTION("""COMPUTED_VALUE"""),5.0)</f>
        <v>5</v>
      </c>
      <c r="E114" s="59">
        <f>IFERROR(__xludf.DUMMYFUNCTION("""COMPUTED_VALUE"""),5.0)</f>
        <v>5</v>
      </c>
      <c r="F114" s="59">
        <f>IFERROR(__xludf.DUMMYFUNCTION("""COMPUTED_VALUE"""),0.0)</f>
        <v>0</v>
      </c>
      <c r="G114" s="59">
        <f>IFERROR(__xludf.DUMMYFUNCTION("""COMPUTED_VALUE"""),1.0)</f>
        <v>1</v>
      </c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>
      <c r="A115" s="84">
        <f>IFERROR(__xludf.DUMMYFUNCTION("""COMPUTED_VALUE"""),46074.0)</f>
        <v>46074</v>
      </c>
      <c r="B115" s="59" t="str">
        <f>IFERROR(__xludf.DUMMYFUNCTION("""COMPUTED_VALUE"""),"KINGNONEX")</f>
        <v>KINGNONEX</v>
      </c>
      <c r="C115" s="59" t="str">
        <f>IFERROR(__xludf.DUMMYFUNCTION("""COMPUTED_VALUE"""),"BALO K")</f>
        <v>BALO K</v>
      </c>
      <c r="D115" s="59">
        <f>IFERROR(__xludf.DUMMYFUNCTION("""COMPUTED_VALUE"""),5.0)</f>
        <v>5</v>
      </c>
      <c r="E115" s="59">
        <f>IFERROR(__xludf.DUMMYFUNCTION("""COMPUTED_VALUE"""),4.0)</f>
        <v>4</v>
      </c>
      <c r="F115" s="59">
        <f>IFERROR(__xludf.DUMMYFUNCTION("""COMPUTED_VALUE"""),1.0)</f>
        <v>1</v>
      </c>
      <c r="G115" s="59">
        <f>IFERROR(__xludf.DUMMYFUNCTION("""COMPUTED_VALUE"""),3.0)</f>
        <v>3</v>
      </c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>
      <c r="A116" s="84">
        <f>IFERROR(__xludf.DUMMYFUNCTION("""COMPUTED_VALUE"""),46074.0)</f>
        <v>46074</v>
      </c>
      <c r="B116" s="59" t="str">
        <f>IFERROR(__xludf.DUMMYFUNCTION("""COMPUTED_VALUE"""),"RHYMEZ")</f>
        <v>RHYMEZ</v>
      </c>
      <c r="C116" s="59" t="str">
        <f>IFERROR(__xludf.DUMMYFUNCTION("""COMPUTED_VALUE"""),"ANIFE")</f>
        <v>ANIFE</v>
      </c>
      <c r="D116" s="59">
        <f>IFERROR(__xludf.DUMMYFUNCTION("""COMPUTED_VALUE"""),5.0)</f>
        <v>5</v>
      </c>
      <c r="E116" s="59">
        <f>IFERROR(__xludf.DUMMYFUNCTION("""COMPUTED_VALUE"""),6.0)</f>
        <v>6</v>
      </c>
      <c r="F116" s="59">
        <f>IFERROR(__xludf.DUMMYFUNCTION("""COMPUTED_VALUE"""),0.0)</f>
        <v>0</v>
      </c>
      <c r="G116" s="59">
        <f>IFERROR(__xludf.DUMMYFUNCTION("""COMPUTED_VALUE"""),0.0)</f>
        <v>0</v>
      </c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>
      <c r="A117" s="84">
        <f>IFERROR(__xludf.DUMMYFUNCTION("""COMPUTED_VALUE"""),46074.0)</f>
        <v>46074</v>
      </c>
      <c r="B117" s="59" t="str">
        <f>IFERROR(__xludf.DUMMYFUNCTION("""COMPUTED_VALUE"""),"BRIGHT")</f>
        <v>BRIGHT</v>
      </c>
      <c r="C117" s="59" t="str">
        <f>IFERROR(__xludf.DUMMYFUNCTION("""COMPUTED_VALUE"""),"GAMEWITHJOSH")</f>
        <v>GAMEWITHJOSH</v>
      </c>
      <c r="D117" s="59">
        <f>IFERROR(__xludf.DUMMYFUNCTION("""COMPUTED_VALUE"""),6.0)</f>
        <v>6</v>
      </c>
      <c r="E117" s="59">
        <f>IFERROR(__xludf.DUMMYFUNCTION("""COMPUTED_VALUE"""),9.0)</f>
        <v>9</v>
      </c>
      <c r="F117" s="59">
        <f>IFERROR(__xludf.DUMMYFUNCTION("""COMPUTED_VALUE"""),0.0)</f>
        <v>0</v>
      </c>
      <c r="G117" s="59">
        <f>IFERROR(__xludf.DUMMYFUNCTION("""COMPUTED_VALUE"""),0.0)</f>
        <v>0</v>
      </c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>
      <c r="A118" s="84">
        <f>IFERROR(__xludf.DUMMYFUNCTION("""COMPUTED_VALUE"""),46074.0)</f>
        <v>46074</v>
      </c>
      <c r="B118" s="59" t="str">
        <f>IFERROR(__xludf.DUMMYFUNCTION("""COMPUTED_VALUE"""),"WOLEVATION")</f>
        <v>WOLEVATION</v>
      </c>
      <c r="C118" s="59" t="str">
        <f>IFERROR(__xludf.DUMMYFUNCTION("""COMPUTED_VALUE"""),"SON OF GOD")</f>
        <v>SON OF GOD</v>
      </c>
      <c r="D118" s="59">
        <f>IFERROR(__xludf.DUMMYFUNCTION("""COMPUTED_VALUE"""),3.0)</f>
        <v>3</v>
      </c>
      <c r="E118" s="59">
        <f>IFERROR(__xludf.DUMMYFUNCTION("""COMPUTED_VALUE"""),6.0)</f>
        <v>6</v>
      </c>
      <c r="F118" s="59">
        <f>IFERROR(__xludf.DUMMYFUNCTION("""COMPUTED_VALUE"""),0.0)</f>
        <v>0</v>
      </c>
      <c r="G118" s="59">
        <f>IFERROR(__xludf.DUMMYFUNCTION("""COMPUTED_VALUE"""),0.0)</f>
        <v>0</v>
      </c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>
      <c r="A119" s="84">
        <f>IFERROR(__xludf.DUMMYFUNCTION("""COMPUTED_VALUE"""),46074.0)</f>
        <v>46074</v>
      </c>
      <c r="B119" s="59" t="str">
        <f>IFERROR(__xludf.DUMMYFUNCTION("""COMPUTED_VALUE"""),"SIMPLYY UZO")</f>
        <v>SIMPLYY UZO</v>
      </c>
      <c r="C119" s="59" t="str">
        <f>IFERROR(__xludf.DUMMYFUNCTION("""COMPUTED_VALUE"""),"TACTICAL")</f>
        <v>TACTICAL</v>
      </c>
      <c r="D119" s="59">
        <f>IFERROR(__xludf.DUMMYFUNCTION("""COMPUTED_VALUE"""),1.0)</f>
        <v>1</v>
      </c>
      <c r="E119" s="59">
        <f>IFERROR(__xludf.DUMMYFUNCTION("""COMPUTED_VALUE"""),12.0)</f>
        <v>12</v>
      </c>
      <c r="F119" s="59">
        <f>IFERROR(__xludf.DUMMYFUNCTION("""COMPUTED_VALUE"""),0.0)</f>
        <v>0</v>
      </c>
      <c r="G119" s="59">
        <f>IFERROR(__xludf.DUMMYFUNCTION("""COMPUTED_VALUE"""),0.0)</f>
        <v>0</v>
      </c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>
      <c r="A120" s="84">
        <f>IFERROR(__xludf.DUMMYFUNCTION("""COMPUTED_VALUE"""),46074.0)</f>
        <v>46074</v>
      </c>
      <c r="B120" s="59" t="str">
        <f>IFERROR(__xludf.DUMMYFUNCTION("""COMPUTED_VALUE"""),"ANIFE")</f>
        <v>ANIFE</v>
      </c>
      <c r="C120" s="59" t="str">
        <f>IFERROR(__xludf.DUMMYFUNCTION("""COMPUTED_VALUE"""),"GAMEWITHJOSH")</f>
        <v>GAMEWITHJOSH</v>
      </c>
      <c r="D120" s="59">
        <f>IFERROR(__xludf.DUMMYFUNCTION("""COMPUTED_VALUE"""),7.0)</f>
        <v>7</v>
      </c>
      <c r="E120" s="59">
        <f>IFERROR(__xludf.DUMMYFUNCTION("""COMPUTED_VALUE"""),5.0)</f>
        <v>5</v>
      </c>
      <c r="F120" s="59">
        <f>IFERROR(__xludf.DUMMYFUNCTION("""COMPUTED_VALUE"""),1.0)</f>
        <v>1</v>
      </c>
      <c r="G120" s="59">
        <f>IFERROR(__xludf.DUMMYFUNCTION("""COMPUTED_VALUE"""),3.0)</f>
        <v>3</v>
      </c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>
      <c r="A121" s="84">
        <f>IFERROR(__xludf.DUMMYFUNCTION("""COMPUTED_VALUE"""),46074.0)</f>
        <v>46074</v>
      </c>
      <c r="B121" s="59" t="str">
        <f>IFERROR(__xludf.DUMMYFUNCTION("""COMPUTED_VALUE"""),"BLAISE99")</f>
        <v>BLAISE99</v>
      </c>
      <c r="C121" s="59" t="str">
        <f>IFERROR(__xludf.DUMMYFUNCTION("""COMPUTED_VALUE"""),"KAYKAY")</f>
        <v>KAYKAY</v>
      </c>
      <c r="D121" s="59">
        <f>IFERROR(__xludf.DUMMYFUNCTION("""COMPUTED_VALUE"""),0.0)</f>
        <v>0</v>
      </c>
      <c r="E121" s="59">
        <f>IFERROR(__xludf.DUMMYFUNCTION("""COMPUTED_VALUE"""),3.0)</f>
        <v>3</v>
      </c>
      <c r="F121" s="59">
        <f>IFERROR(__xludf.DUMMYFUNCTION("""COMPUTED_VALUE"""),0.0)</f>
        <v>0</v>
      </c>
      <c r="G121" s="59">
        <f>IFERROR(__xludf.DUMMYFUNCTION("""COMPUTED_VALUE"""),0.0)</f>
        <v>0</v>
      </c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>
      <c r="A122" s="84">
        <f>IFERROR(__xludf.DUMMYFUNCTION("""COMPUTED_VALUE"""),46074.0)</f>
        <v>46074</v>
      </c>
      <c r="B122" s="59" t="str">
        <f>IFERROR(__xludf.DUMMYFUNCTION("""COMPUTED_VALUE"""),"WOLEVATION")</f>
        <v>WOLEVATION</v>
      </c>
      <c r="C122" s="59" t="str">
        <f>IFERROR(__xludf.DUMMYFUNCTION("""COMPUTED_VALUE"""),"YEMOLEE")</f>
        <v>YEMOLEE</v>
      </c>
      <c r="D122" s="59">
        <f>IFERROR(__xludf.DUMMYFUNCTION("""COMPUTED_VALUE"""),5.0)</f>
        <v>5</v>
      </c>
      <c r="E122" s="59">
        <f>IFERROR(__xludf.DUMMYFUNCTION("""COMPUTED_VALUE"""),4.0)</f>
        <v>4</v>
      </c>
      <c r="F122" s="59">
        <f>IFERROR(__xludf.DUMMYFUNCTION("""COMPUTED_VALUE"""),1.0)</f>
        <v>1</v>
      </c>
      <c r="G122" s="59">
        <f>IFERROR(__xludf.DUMMYFUNCTION("""COMPUTED_VALUE"""),3.0)</f>
        <v>3</v>
      </c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>
      <c r="A123" s="84">
        <f>IFERROR(__xludf.DUMMYFUNCTION("""COMPUTED_VALUE"""),46074.0)</f>
        <v>46074</v>
      </c>
      <c r="B123" s="59" t="str">
        <f>IFERROR(__xludf.DUMMYFUNCTION("""COMPUTED_VALUE"""),"RHYMEZ")</f>
        <v>RHYMEZ</v>
      </c>
      <c r="C123" s="59" t="str">
        <f>IFERROR(__xludf.DUMMYFUNCTION("""COMPUTED_VALUE"""),"DADABOI")</f>
        <v>DADABOI</v>
      </c>
      <c r="D123" s="59">
        <f>IFERROR(__xludf.DUMMYFUNCTION("""COMPUTED_VALUE"""),5.0)</f>
        <v>5</v>
      </c>
      <c r="E123" s="59">
        <f>IFERROR(__xludf.DUMMYFUNCTION("""COMPUTED_VALUE"""),2.0)</f>
        <v>2</v>
      </c>
      <c r="F123" s="59">
        <f>IFERROR(__xludf.DUMMYFUNCTION("""COMPUTED_VALUE"""),1.0)</f>
        <v>1</v>
      </c>
      <c r="G123" s="59">
        <f>IFERROR(__xludf.DUMMYFUNCTION("""COMPUTED_VALUE"""),3.0)</f>
        <v>3</v>
      </c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>
      <c r="A124" s="84">
        <f>IFERROR(__xludf.DUMMYFUNCTION("""COMPUTED_VALUE"""),46074.0)</f>
        <v>46074</v>
      </c>
      <c r="B124" s="59" t="str">
        <f>IFERROR(__xludf.DUMMYFUNCTION("""COMPUTED_VALUE"""),"MR OGA")</f>
        <v>MR OGA</v>
      </c>
      <c r="C124" s="59" t="str">
        <f>IFERROR(__xludf.DUMMYFUNCTION("""COMPUTED_VALUE"""),"SON OF GOD")</f>
        <v>SON OF GOD</v>
      </c>
      <c r="D124" s="59">
        <f>IFERROR(__xludf.DUMMYFUNCTION("""COMPUTED_VALUE"""),10.0)</f>
        <v>10</v>
      </c>
      <c r="E124" s="59">
        <f>IFERROR(__xludf.DUMMYFUNCTION("""COMPUTED_VALUE"""),3.0)</f>
        <v>3</v>
      </c>
      <c r="F124" s="59">
        <f>IFERROR(__xludf.DUMMYFUNCTION("""COMPUTED_VALUE"""),1.0)</f>
        <v>1</v>
      </c>
      <c r="G124" s="59">
        <f>IFERROR(__xludf.DUMMYFUNCTION("""COMPUTED_VALUE"""),3.0)</f>
        <v>3</v>
      </c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>
      <c r="A125" s="84">
        <f>IFERROR(__xludf.DUMMYFUNCTION("""COMPUTED_VALUE"""),46074.0)</f>
        <v>46074</v>
      </c>
      <c r="B125" s="59" t="str">
        <f>IFERROR(__xludf.DUMMYFUNCTION("""COMPUTED_VALUE"""),"BRIGHT")</f>
        <v>BRIGHT</v>
      </c>
      <c r="C125" s="59" t="str">
        <f>IFERROR(__xludf.DUMMYFUNCTION("""COMPUTED_VALUE"""),"BAJI SNR")</f>
        <v>BAJI SNR</v>
      </c>
      <c r="D125" s="59">
        <f>IFERROR(__xludf.DUMMYFUNCTION("""COMPUTED_VALUE"""),1.0)</f>
        <v>1</v>
      </c>
      <c r="E125" s="59">
        <f>IFERROR(__xludf.DUMMYFUNCTION("""COMPUTED_VALUE"""),8.0)</f>
        <v>8</v>
      </c>
      <c r="F125" s="59">
        <f>IFERROR(__xludf.DUMMYFUNCTION("""COMPUTED_VALUE"""),0.0)</f>
        <v>0</v>
      </c>
      <c r="G125" s="59">
        <f>IFERROR(__xludf.DUMMYFUNCTION("""COMPUTED_VALUE"""),0.0)</f>
        <v>0</v>
      </c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>
      <c r="A126" s="84">
        <f>IFERROR(__xludf.DUMMYFUNCTION("""COMPUTED_VALUE"""),46075.0)</f>
        <v>46075</v>
      </c>
      <c r="B126" s="59" t="str">
        <f>IFERROR(__xludf.DUMMYFUNCTION("""COMPUTED_VALUE"""),"BRIGHT")</f>
        <v>BRIGHT</v>
      </c>
      <c r="C126" s="59" t="str">
        <f>IFERROR(__xludf.DUMMYFUNCTION("""COMPUTED_VALUE"""),"DADABOI")</f>
        <v>DADABOI</v>
      </c>
      <c r="D126" s="59">
        <f>IFERROR(__xludf.DUMMYFUNCTION("""COMPUTED_VALUE"""),0.0)</f>
        <v>0</v>
      </c>
      <c r="E126" s="59">
        <f>IFERROR(__xludf.DUMMYFUNCTION("""COMPUTED_VALUE"""),3.0)</f>
        <v>3</v>
      </c>
      <c r="F126" s="59">
        <f>IFERROR(__xludf.DUMMYFUNCTION("""COMPUTED_VALUE"""),0.0)</f>
        <v>0</v>
      </c>
      <c r="G126" s="59">
        <f>IFERROR(__xludf.DUMMYFUNCTION("""COMPUTED_VALUE"""),0.0)</f>
        <v>0</v>
      </c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>
      <c r="A127" s="84">
        <f>IFERROR(__xludf.DUMMYFUNCTION("""COMPUTED_VALUE"""),46075.0)</f>
        <v>46075</v>
      </c>
      <c r="B127" s="59" t="str">
        <f>IFERROR(__xludf.DUMMYFUNCTION("""COMPUTED_VALUE"""),"TACTICAL")</f>
        <v>TACTICAL</v>
      </c>
      <c r="C127" s="59" t="str">
        <f>IFERROR(__xludf.DUMMYFUNCTION("""COMPUTED_VALUE"""),"BAJI SNR")</f>
        <v>BAJI SNR</v>
      </c>
      <c r="D127" s="59">
        <f>IFERROR(__xludf.DUMMYFUNCTION("""COMPUTED_VALUE"""),3.0)</f>
        <v>3</v>
      </c>
      <c r="E127" s="59">
        <f>IFERROR(__xludf.DUMMYFUNCTION("""COMPUTED_VALUE"""),0.0)</f>
        <v>0</v>
      </c>
      <c r="F127" s="59">
        <f>IFERROR(__xludf.DUMMYFUNCTION("""COMPUTED_VALUE"""),1.0)</f>
        <v>1</v>
      </c>
      <c r="G127" s="59">
        <f>IFERROR(__xludf.DUMMYFUNCTION("""COMPUTED_VALUE"""),3.0)</f>
        <v>3</v>
      </c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>
      <c r="A128" s="84">
        <f>IFERROR(__xludf.DUMMYFUNCTION("""COMPUTED_VALUE"""),46075.0)</f>
        <v>46075</v>
      </c>
      <c r="B128" s="59" t="str">
        <f>IFERROR(__xludf.DUMMYFUNCTION("""COMPUTED_VALUE"""),"GAMEWITHJOSH")</f>
        <v>GAMEWITHJOSH</v>
      </c>
      <c r="C128" s="59" t="str">
        <f>IFERROR(__xludf.DUMMYFUNCTION("""COMPUTED_VALUE"""),"MR OGA")</f>
        <v>MR OGA</v>
      </c>
      <c r="D128" s="59">
        <f>IFERROR(__xludf.DUMMYFUNCTION("""COMPUTED_VALUE"""),6.0)</f>
        <v>6</v>
      </c>
      <c r="E128" s="59">
        <f>IFERROR(__xludf.DUMMYFUNCTION("""COMPUTED_VALUE"""),3.0)</f>
        <v>3</v>
      </c>
      <c r="F128" s="59">
        <f>IFERROR(__xludf.DUMMYFUNCTION("""COMPUTED_VALUE"""),1.0)</f>
        <v>1</v>
      </c>
      <c r="G128" s="59">
        <f>IFERROR(__xludf.DUMMYFUNCTION("""COMPUTED_VALUE"""),3.0)</f>
        <v>3</v>
      </c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>
      <c r="A129" s="84">
        <f>IFERROR(__xludf.DUMMYFUNCTION("""COMPUTED_VALUE"""),46075.0)</f>
        <v>46075</v>
      </c>
      <c r="B129" s="59" t="str">
        <f>IFERROR(__xludf.DUMMYFUNCTION("""COMPUTED_VALUE"""),"BALO K")</f>
        <v>BALO K</v>
      </c>
      <c r="C129" s="59" t="str">
        <f>IFERROR(__xludf.DUMMYFUNCTION("""COMPUTED_VALUE"""),"WOLEVATION")</f>
        <v>WOLEVATION</v>
      </c>
      <c r="D129" s="59">
        <f>IFERROR(__xludf.DUMMYFUNCTION("""COMPUTED_VALUE"""),2.0)</f>
        <v>2</v>
      </c>
      <c r="E129" s="59">
        <f>IFERROR(__xludf.DUMMYFUNCTION("""COMPUTED_VALUE"""),6.0)</f>
        <v>6</v>
      </c>
      <c r="F129" s="59">
        <f>IFERROR(__xludf.DUMMYFUNCTION("""COMPUTED_VALUE"""),0.0)</f>
        <v>0</v>
      </c>
      <c r="G129" s="59">
        <f>IFERROR(__xludf.DUMMYFUNCTION("""COMPUTED_VALUE"""),0.0)</f>
        <v>0</v>
      </c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>
      <c r="A130" s="84">
        <f>IFERROR(__xludf.DUMMYFUNCTION("""COMPUTED_VALUE"""),46075.0)</f>
        <v>46075</v>
      </c>
      <c r="B130" s="59" t="str">
        <f>IFERROR(__xludf.DUMMYFUNCTION("""COMPUTED_VALUE"""),"YEMOLEE")</f>
        <v>YEMOLEE</v>
      </c>
      <c r="C130" s="59" t="str">
        <f>IFERROR(__xludf.DUMMYFUNCTION("""COMPUTED_VALUE"""),"RHYMEZ")</f>
        <v>RHYMEZ</v>
      </c>
      <c r="D130" s="59">
        <f>IFERROR(__xludf.DUMMYFUNCTION("""COMPUTED_VALUE"""),6.0)</f>
        <v>6</v>
      </c>
      <c r="E130" s="59">
        <f>IFERROR(__xludf.DUMMYFUNCTION("""COMPUTED_VALUE"""),6.0)</f>
        <v>6</v>
      </c>
      <c r="F130" s="59">
        <f>IFERROR(__xludf.DUMMYFUNCTION("""COMPUTED_VALUE"""),0.0)</f>
        <v>0</v>
      </c>
      <c r="G130" s="59">
        <f>IFERROR(__xludf.DUMMYFUNCTION("""COMPUTED_VALUE"""),1.0)</f>
        <v>1</v>
      </c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>
      <c r="A131" s="84">
        <f>IFERROR(__xludf.DUMMYFUNCTION("""COMPUTED_VALUE"""),46075.0)</f>
        <v>46075</v>
      </c>
      <c r="B131" s="59" t="str">
        <f>IFERROR(__xludf.DUMMYFUNCTION("""COMPUTED_VALUE"""),"GURU")</f>
        <v>GURU</v>
      </c>
      <c r="C131" s="59" t="str">
        <f>IFERROR(__xludf.DUMMYFUNCTION("""COMPUTED_VALUE"""),"FLICK")</f>
        <v>FLICK</v>
      </c>
      <c r="D131" s="59">
        <f>IFERROR(__xludf.DUMMYFUNCTION("""COMPUTED_VALUE"""),3.0)</f>
        <v>3</v>
      </c>
      <c r="E131" s="59">
        <f>IFERROR(__xludf.DUMMYFUNCTION("""COMPUTED_VALUE"""),0.0)</f>
        <v>0</v>
      </c>
      <c r="F131" s="59">
        <f>IFERROR(__xludf.DUMMYFUNCTION("""COMPUTED_VALUE"""),1.0)</f>
        <v>1</v>
      </c>
      <c r="G131" s="59">
        <f>IFERROR(__xludf.DUMMYFUNCTION("""COMPUTED_VALUE"""),3.0)</f>
        <v>3</v>
      </c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>
      <c r="A132" s="84">
        <f>IFERROR(__xludf.DUMMYFUNCTION("""COMPUTED_VALUE"""),46075.0)</f>
        <v>46075</v>
      </c>
      <c r="B132" s="59" t="str">
        <f>IFERROR(__xludf.DUMMYFUNCTION("""COMPUTED_VALUE"""),"KINGNONEX")</f>
        <v>KINGNONEX</v>
      </c>
      <c r="C132" s="59" t="str">
        <f>IFERROR(__xludf.DUMMYFUNCTION("""COMPUTED_VALUE"""),"DRACARYS")</f>
        <v>DRACARYS</v>
      </c>
      <c r="D132" s="59">
        <f>IFERROR(__xludf.DUMMYFUNCTION("""COMPUTED_VALUE"""),4.0)</f>
        <v>4</v>
      </c>
      <c r="E132" s="59">
        <f>IFERROR(__xludf.DUMMYFUNCTION("""COMPUTED_VALUE"""),1.0)</f>
        <v>1</v>
      </c>
      <c r="F132" s="59">
        <f>IFERROR(__xludf.DUMMYFUNCTION("""COMPUTED_VALUE"""),1.0)</f>
        <v>1</v>
      </c>
      <c r="G132" s="59">
        <f>IFERROR(__xludf.DUMMYFUNCTION("""COMPUTED_VALUE"""),3.0)</f>
        <v>3</v>
      </c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>
      <c r="A133" s="84">
        <f>IFERROR(__xludf.DUMMYFUNCTION("""COMPUTED_VALUE"""),46075.0)</f>
        <v>46075</v>
      </c>
      <c r="B133" s="59" t="str">
        <f>IFERROR(__xludf.DUMMYFUNCTION("""COMPUTED_VALUE"""),"SIMPLYY UZO")</f>
        <v>SIMPLYY UZO</v>
      </c>
      <c r="C133" s="59" t="str">
        <f>IFERROR(__xludf.DUMMYFUNCTION("""COMPUTED_VALUE"""),"ANIFE")</f>
        <v>ANIFE</v>
      </c>
      <c r="D133" s="59">
        <f>IFERROR(__xludf.DUMMYFUNCTION("""COMPUTED_VALUE"""),6.0)</f>
        <v>6</v>
      </c>
      <c r="E133" s="59">
        <f>IFERROR(__xludf.DUMMYFUNCTION("""COMPUTED_VALUE"""),10.0)</f>
        <v>10</v>
      </c>
      <c r="F133" s="59">
        <f>IFERROR(__xludf.DUMMYFUNCTION("""COMPUTED_VALUE"""),0.0)</f>
        <v>0</v>
      </c>
      <c r="G133" s="59">
        <f>IFERROR(__xludf.DUMMYFUNCTION("""COMPUTED_VALUE"""),0.0)</f>
        <v>0</v>
      </c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>
      <c r="A134" s="84">
        <f>IFERROR(__xludf.DUMMYFUNCTION("""COMPUTED_VALUE"""),46075.0)</f>
        <v>46075</v>
      </c>
      <c r="B134" s="59" t="str">
        <f>IFERROR(__xludf.DUMMYFUNCTION("""COMPUTED_VALUE"""),"GURU")</f>
        <v>GURU</v>
      </c>
      <c r="C134" s="59" t="str">
        <f>IFERROR(__xludf.DUMMYFUNCTION("""COMPUTED_VALUE"""),"BLAISE99")</f>
        <v>BLAISE99</v>
      </c>
      <c r="D134" s="59">
        <f>IFERROR(__xludf.DUMMYFUNCTION("""COMPUTED_VALUE"""),8.0)</f>
        <v>8</v>
      </c>
      <c r="E134" s="59">
        <f>IFERROR(__xludf.DUMMYFUNCTION("""COMPUTED_VALUE"""),4.0)</f>
        <v>4</v>
      </c>
      <c r="F134" s="59">
        <f>IFERROR(__xludf.DUMMYFUNCTION("""COMPUTED_VALUE"""),1.0)</f>
        <v>1</v>
      </c>
      <c r="G134" s="59">
        <f>IFERROR(__xludf.DUMMYFUNCTION("""COMPUTED_VALUE"""),3.0)</f>
        <v>3</v>
      </c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>
      <c r="A135" s="84">
        <f>IFERROR(__xludf.DUMMYFUNCTION("""COMPUTED_VALUE"""),46075.0)</f>
        <v>46075</v>
      </c>
      <c r="B135" s="59" t="str">
        <f>IFERROR(__xludf.DUMMYFUNCTION("""COMPUTED_VALUE"""),"BALO K")</f>
        <v>BALO K</v>
      </c>
      <c r="C135" s="59" t="str">
        <f>IFERROR(__xludf.DUMMYFUNCTION("""COMPUTED_VALUE"""),"KAYKAY")</f>
        <v>KAYKAY</v>
      </c>
      <c r="D135" s="59">
        <f>IFERROR(__xludf.DUMMYFUNCTION("""COMPUTED_VALUE"""),1.0)</f>
        <v>1</v>
      </c>
      <c r="E135" s="59">
        <f>IFERROR(__xludf.DUMMYFUNCTION("""COMPUTED_VALUE"""),7.0)</f>
        <v>7</v>
      </c>
      <c r="F135" s="59">
        <f>IFERROR(__xludf.DUMMYFUNCTION("""COMPUTED_VALUE"""),0.0)</f>
        <v>0</v>
      </c>
      <c r="G135" s="59">
        <f>IFERROR(__xludf.DUMMYFUNCTION("""COMPUTED_VALUE"""),0.0)</f>
        <v>0</v>
      </c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>
      <c r="A136" s="84">
        <f>IFERROR(__xludf.DUMMYFUNCTION("""COMPUTED_VALUE"""),46075.0)</f>
        <v>46075</v>
      </c>
      <c r="B136" s="59" t="str">
        <f>IFERROR(__xludf.DUMMYFUNCTION("""COMPUTED_VALUE"""),"KINGNONEX")</f>
        <v>KINGNONEX</v>
      </c>
      <c r="C136" s="59" t="str">
        <f>IFERROR(__xludf.DUMMYFUNCTION("""COMPUTED_VALUE"""),"GAMEWITHJOSH")</f>
        <v>GAMEWITHJOSH</v>
      </c>
      <c r="D136" s="59">
        <f>IFERROR(__xludf.DUMMYFUNCTION("""COMPUTED_VALUE"""),5.0)</f>
        <v>5</v>
      </c>
      <c r="E136" s="59">
        <f>IFERROR(__xludf.DUMMYFUNCTION("""COMPUTED_VALUE"""),5.0)</f>
        <v>5</v>
      </c>
      <c r="F136" s="59">
        <f>IFERROR(__xludf.DUMMYFUNCTION("""COMPUTED_VALUE"""),0.0)</f>
        <v>0</v>
      </c>
      <c r="G136" s="59">
        <f>IFERROR(__xludf.DUMMYFUNCTION("""COMPUTED_VALUE"""),1.0)</f>
        <v>1</v>
      </c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>
      <c r="A137" s="84">
        <f>IFERROR(__xludf.DUMMYFUNCTION("""COMPUTED_VALUE"""),46075.0)</f>
        <v>46075</v>
      </c>
      <c r="B137" s="59" t="str">
        <f>IFERROR(__xludf.DUMMYFUNCTION("""COMPUTED_VALUE"""),"FLICK")</f>
        <v>FLICK</v>
      </c>
      <c r="C137" s="59" t="str">
        <f>IFERROR(__xludf.DUMMYFUNCTION("""COMPUTED_VALUE"""),"TACTICAL")</f>
        <v>TACTICAL</v>
      </c>
      <c r="D137" s="59">
        <f>IFERROR(__xludf.DUMMYFUNCTION("""COMPUTED_VALUE"""),0.0)</f>
        <v>0</v>
      </c>
      <c r="E137" s="59">
        <f>IFERROR(__xludf.DUMMYFUNCTION("""COMPUTED_VALUE"""),3.0)</f>
        <v>3</v>
      </c>
      <c r="F137" s="59">
        <f>IFERROR(__xludf.DUMMYFUNCTION("""COMPUTED_VALUE"""),0.0)</f>
        <v>0</v>
      </c>
      <c r="G137" s="59">
        <f>IFERROR(__xludf.DUMMYFUNCTION("""COMPUTED_VALUE"""),0.0)</f>
        <v>0</v>
      </c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>
      <c r="A138" s="84">
        <f>IFERROR(__xludf.DUMMYFUNCTION("""COMPUTED_VALUE"""),46081.0)</f>
        <v>46081</v>
      </c>
      <c r="B138" s="59" t="str">
        <f>IFERROR(__xludf.DUMMYFUNCTION("""COMPUTED_VALUE"""),"BRIGHT")</f>
        <v>BRIGHT</v>
      </c>
      <c r="C138" s="59" t="str">
        <f>IFERROR(__xludf.DUMMYFUNCTION("""COMPUTED_VALUE"""),"SIMPLYY UZO")</f>
        <v>SIMPLYY UZO</v>
      </c>
      <c r="D138" s="59">
        <f>IFERROR(__xludf.DUMMYFUNCTION("""COMPUTED_VALUE"""),6.0)</f>
        <v>6</v>
      </c>
      <c r="E138" s="59">
        <f>IFERROR(__xludf.DUMMYFUNCTION("""COMPUTED_VALUE"""),5.0)</f>
        <v>5</v>
      </c>
      <c r="F138" s="59">
        <f>IFERROR(__xludf.DUMMYFUNCTION("""COMPUTED_VALUE"""),1.0)</f>
        <v>1</v>
      </c>
      <c r="G138" s="59">
        <f>IFERROR(__xludf.DUMMYFUNCTION("""COMPUTED_VALUE"""),3.0)</f>
        <v>3</v>
      </c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>
      <c r="A139" s="84">
        <f>IFERROR(__xludf.DUMMYFUNCTION("""COMPUTED_VALUE"""),46081.0)</f>
        <v>46081</v>
      </c>
      <c r="B139" s="59" t="str">
        <f>IFERROR(__xludf.DUMMYFUNCTION("""COMPUTED_VALUE"""),"KINGNONEX")</f>
        <v>KINGNONEX</v>
      </c>
      <c r="C139" s="59" t="str">
        <f>IFERROR(__xludf.DUMMYFUNCTION("""COMPUTED_VALUE"""),"BLAISE99")</f>
        <v>BLAISE99</v>
      </c>
      <c r="D139" s="59">
        <f>IFERROR(__xludf.DUMMYFUNCTION("""COMPUTED_VALUE"""),3.0)</f>
        <v>3</v>
      </c>
      <c r="E139" s="59">
        <f>IFERROR(__xludf.DUMMYFUNCTION("""COMPUTED_VALUE"""),0.0)</f>
        <v>0</v>
      </c>
      <c r="F139" s="59">
        <f>IFERROR(__xludf.DUMMYFUNCTION("""COMPUTED_VALUE"""),1.0)</f>
        <v>1</v>
      </c>
      <c r="G139" s="59">
        <f>IFERROR(__xludf.DUMMYFUNCTION("""COMPUTED_VALUE"""),3.0)</f>
        <v>3</v>
      </c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>
      <c r="A140" s="84">
        <f>IFERROR(__xludf.DUMMYFUNCTION("""COMPUTED_VALUE"""),46081.0)</f>
        <v>46081</v>
      </c>
      <c r="B140" s="59" t="str">
        <f>IFERROR(__xludf.DUMMYFUNCTION("""COMPUTED_VALUE"""),"MR OGA")</f>
        <v>MR OGA</v>
      </c>
      <c r="C140" s="59" t="str">
        <f>IFERROR(__xludf.DUMMYFUNCTION("""COMPUTED_VALUE"""),"DADABOI")</f>
        <v>DADABOI</v>
      </c>
      <c r="D140" s="59">
        <f>IFERROR(__xludf.DUMMYFUNCTION("""COMPUTED_VALUE"""),3.0)</f>
        <v>3</v>
      </c>
      <c r="E140" s="59">
        <f>IFERROR(__xludf.DUMMYFUNCTION("""COMPUTED_VALUE"""),7.0)</f>
        <v>7</v>
      </c>
      <c r="F140" s="59">
        <f>IFERROR(__xludf.DUMMYFUNCTION("""COMPUTED_VALUE"""),0.0)</f>
        <v>0</v>
      </c>
      <c r="G140" s="59">
        <f>IFERROR(__xludf.DUMMYFUNCTION("""COMPUTED_VALUE"""),0.0)</f>
        <v>0</v>
      </c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>
      <c r="A141" s="84">
        <f>IFERROR(__xludf.DUMMYFUNCTION("""COMPUTED_VALUE"""),46081.0)</f>
        <v>46081</v>
      </c>
      <c r="B141" s="59" t="str">
        <f>IFERROR(__xludf.DUMMYFUNCTION("""COMPUTED_VALUE"""),"GAMEWITHJOSH")</f>
        <v>GAMEWITHJOSH</v>
      </c>
      <c r="C141" s="59" t="str">
        <f>IFERROR(__xludf.DUMMYFUNCTION("""COMPUTED_VALUE"""),"FLICK")</f>
        <v>FLICK</v>
      </c>
      <c r="D141" s="59">
        <f>IFERROR(__xludf.DUMMYFUNCTION("""COMPUTED_VALUE"""),3.0)</f>
        <v>3</v>
      </c>
      <c r="E141" s="59">
        <f>IFERROR(__xludf.DUMMYFUNCTION("""COMPUTED_VALUE"""),0.0)</f>
        <v>0</v>
      </c>
      <c r="F141" s="59">
        <f>IFERROR(__xludf.DUMMYFUNCTION("""COMPUTED_VALUE"""),1.0)</f>
        <v>1</v>
      </c>
      <c r="G141" s="59">
        <f>IFERROR(__xludf.DUMMYFUNCTION("""COMPUTED_VALUE"""),3.0)</f>
        <v>3</v>
      </c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>
      <c r="A142" s="84">
        <f>IFERROR(__xludf.DUMMYFUNCTION("""COMPUTED_VALUE"""),46081.0)</f>
        <v>46081</v>
      </c>
      <c r="B142" s="59" t="str">
        <f>IFERROR(__xludf.DUMMYFUNCTION("""COMPUTED_VALUE"""),"RHYMEZ")</f>
        <v>RHYMEZ</v>
      </c>
      <c r="C142" s="59" t="str">
        <f>IFERROR(__xludf.DUMMYFUNCTION("""COMPUTED_VALUE"""),"DRACARYS")</f>
        <v>DRACARYS</v>
      </c>
      <c r="D142" s="59">
        <f>IFERROR(__xludf.DUMMYFUNCTION("""COMPUTED_VALUE"""),6.0)</f>
        <v>6</v>
      </c>
      <c r="E142" s="59">
        <f>IFERROR(__xludf.DUMMYFUNCTION("""COMPUTED_VALUE"""),2.0)</f>
        <v>2</v>
      </c>
      <c r="F142" s="59">
        <f>IFERROR(__xludf.DUMMYFUNCTION("""COMPUTED_VALUE"""),1.0)</f>
        <v>1</v>
      </c>
      <c r="G142" s="59">
        <f>IFERROR(__xludf.DUMMYFUNCTION("""COMPUTED_VALUE"""),3.0)</f>
        <v>3</v>
      </c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>
      <c r="A143" s="84">
        <f>IFERROR(__xludf.DUMMYFUNCTION("""COMPUTED_VALUE"""),46081.0)</f>
        <v>46081</v>
      </c>
      <c r="B143" s="59" t="str">
        <f>IFERROR(__xludf.DUMMYFUNCTION("""COMPUTED_VALUE"""),"SON OF GOD")</f>
        <v>SON OF GOD</v>
      </c>
      <c r="C143" s="59" t="str">
        <f>IFERROR(__xludf.DUMMYFUNCTION("""COMPUTED_VALUE"""),"BAJI SNR")</f>
        <v>BAJI SNR</v>
      </c>
      <c r="D143" s="59">
        <f>IFERROR(__xludf.DUMMYFUNCTION("""COMPUTED_VALUE"""),3.0)</f>
        <v>3</v>
      </c>
      <c r="E143" s="59">
        <f>IFERROR(__xludf.DUMMYFUNCTION("""COMPUTED_VALUE"""),0.0)</f>
        <v>0</v>
      </c>
      <c r="F143" s="59">
        <f>IFERROR(__xludf.DUMMYFUNCTION("""COMPUTED_VALUE"""),1.0)</f>
        <v>1</v>
      </c>
      <c r="G143" s="59">
        <f>IFERROR(__xludf.DUMMYFUNCTION("""COMPUTED_VALUE"""),3.0)</f>
        <v>3</v>
      </c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>
      <c r="A144" s="84">
        <f>IFERROR(__xludf.DUMMYFUNCTION("""COMPUTED_VALUE"""),46081.0)</f>
        <v>46081</v>
      </c>
      <c r="B144" s="59" t="str">
        <f>IFERROR(__xludf.DUMMYFUNCTION("""COMPUTED_VALUE"""),"ANIFE")</f>
        <v>ANIFE</v>
      </c>
      <c r="C144" s="59" t="str">
        <f>IFERROR(__xludf.DUMMYFUNCTION("""COMPUTED_VALUE"""),"WOLEVATION")</f>
        <v>WOLEVATION</v>
      </c>
      <c r="D144" s="59">
        <f>IFERROR(__xludf.DUMMYFUNCTION("""COMPUTED_VALUE"""),4.0)</f>
        <v>4</v>
      </c>
      <c r="E144" s="59">
        <f>IFERROR(__xludf.DUMMYFUNCTION("""COMPUTED_VALUE"""),4.0)</f>
        <v>4</v>
      </c>
      <c r="F144" s="59">
        <f>IFERROR(__xludf.DUMMYFUNCTION("""COMPUTED_VALUE"""),0.0)</f>
        <v>0</v>
      </c>
      <c r="G144" s="59">
        <f>IFERROR(__xludf.DUMMYFUNCTION("""COMPUTED_VALUE"""),1.0)</f>
        <v>1</v>
      </c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>
      <c r="A145" s="84">
        <f>IFERROR(__xludf.DUMMYFUNCTION("""COMPUTED_VALUE"""),46081.0)</f>
        <v>46081</v>
      </c>
      <c r="B145" s="59" t="str">
        <f>IFERROR(__xludf.DUMMYFUNCTION("""COMPUTED_VALUE"""),"KHALEEDOY")</f>
        <v>KHALEEDOY</v>
      </c>
      <c r="C145" s="59" t="str">
        <f>IFERROR(__xludf.DUMMYFUNCTION("""COMPUTED_VALUE"""),"BALO K")</f>
        <v>BALO K</v>
      </c>
      <c r="D145" s="59">
        <f>IFERROR(__xludf.DUMMYFUNCTION("""COMPUTED_VALUE"""),5.0)</f>
        <v>5</v>
      </c>
      <c r="E145" s="59">
        <f>IFERROR(__xludf.DUMMYFUNCTION("""COMPUTED_VALUE"""),3.0)</f>
        <v>3</v>
      </c>
      <c r="F145" s="59">
        <f>IFERROR(__xludf.DUMMYFUNCTION("""COMPUTED_VALUE"""),1.0)</f>
        <v>1</v>
      </c>
      <c r="G145" s="59">
        <f>IFERROR(__xludf.DUMMYFUNCTION("""COMPUTED_VALUE"""),3.0)</f>
        <v>3</v>
      </c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>
      <c r="A146" s="84">
        <f>IFERROR(__xludf.DUMMYFUNCTION("""COMPUTED_VALUE"""),46081.0)</f>
        <v>46081</v>
      </c>
      <c r="B146" s="59" t="str">
        <f>IFERROR(__xludf.DUMMYFUNCTION("""COMPUTED_VALUE"""),"KAYKAY")</f>
        <v>KAYKAY</v>
      </c>
      <c r="C146" s="59" t="str">
        <f>IFERROR(__xludf.DUMMYFUNCTION("""COMPUTED_VALUE"""),"YEMOLEE")</f>
        <v>YEMOLEE</v>
      </c>
      <c r="D146" s="59">
        <f>IFERROR(__xludf.DUMMYFUNCTION("""COMPUTED_VALUE"""),3.0)</f>
        <v>3</v>
      </c>
      <c r="E146" s="59">
        <f>IFERROR(__xludf.DUMMYFUNCTION("""COMPUTED_VALUE"""),8.0)</f>
        <v>8</v>
      </c>
      <c r="F146" s="59">
        <f>IFERROR(__xludf.DUMMYFUNCTION("""COMPUTED_VALUE"""),0.0)</f>
        <v>0</v>
      </c>
      <c r="G146" s="59">
        <f>IFERROR(__xludf.DUMMYFUNCTION("""COMPUTED_VALUE"""),0.0)</f>
        <v>0</v>
      </c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>
      <c r="A147" s="84">
        <f>IFERROR(__xludf.DUMMYFUNCTION("""COMPUTED_VALUE"""),46081.0)</f>
        <v>46081</v>
      </c>
      <c r="B147" s="59" t="str">
        <f>IFERROR(__xludf.DUMMYFUNCTION("""COMPUTED_VALUE"""),"DRACARYS")</f>
        <v>DRACARYS</v>
      </c>
      <c r="C147" s="59" t="str">
        <f>IFERROR(__xludf.DUMMYFUNCTION("""COMPUTED_VALUE"""),"SIMPLYY UZO")</f>
        <v>SIMPLYY UZO</v>
      </c>
      <c r="D147" s="59">
        <f>IFERROR(__xludf.DUMMYFUNCTION("""COMPUTED_VALUE"""),3.0)</f>
        <v>3</v>
      </c>
      <c r="E147" s="59">
        <f>IFERROR(__xludf.DUMMYFUNCTION("""COMPUTED_VALUE"""),0.0)</f>
        <v>0</v>
      </c>
      <c r="F147" s="59">
        <f>IFERROR(__xludf.DUMMYFUNCTION("""COMPUTED_VALUE"""),1.0)</f>
        <v>1</v>
      </c>
      <c r="G147" s="59">
        <f>IFERROR(__xludf.DUMMYFUNCTION("""COMPUTED_VALUE"""),3.0)</f>
        <v>3</v>
      </c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>
      <c r="A148" s="84">
        <f>IFERROR(__xludf.DUMMYFUNCTION("""COMPUTED_VALUE"""),46081.0)</f>
        <v>46081</v>
      </c>
      <c r="B148" s="59" t="str">
        <f>IFERROR(__xludf.DUMMYFUNCTION("""COMPUTED_VALUE"""),"RHYMEZ")</f>
        <v>RHYMEZ</v>
      </c>
      <c r="C148" s="59" t="str">
        <f>IFERROR(__xludf.DUMMYFUNCTION("""COMPUTED_VALUE"""),"SON OF GOD")</f>
        <v>SON OF GOD</v>
      </c>
      <c r="D148" s="59">
        <f>IFERROR(__xludf.DUMMYFUNCTION("""COMPUTED_VALUE"""),6.0)</f>
        <v>6</v>
      </c>
      <c r="E148" s="59">
        <f>IFERROR(__xludf.DUMMYFUNCTION("""COMPUTED_VALUE"""),5.0)</f>
        <v>5</v>
      </c>
      <c r="F148" s="59">
        <f>IFERROR(__xludf.DUMMYFUNCTION("""COMPUTED_VALUE"""),1.0)</f>
        <v>1</v>
      </c>
      <c r="G148" s="59">
        <f>IFERROR(__xludf.DUMMYFUNCTION("""COMPUTED_VALUE"""),3.0)</f>
        <v>3</v>
      </c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>
      <c r="A149" s="84">
        <f>IFERROR(__xludf.DUMMYFUNCTION("""COMPUTED_VALUE"""),46081.0)</f>
        <v>46081</v>
      </c>
      <c r="B149" s="59" t="str">
        <f>IFERROR(__xludf.DUMMYFUNCTION("""COMPUTED_VALUE"""),"DADABOI")</f>
        <v>DADABOI</v>
      </c>
      <c r="C149" s="59" t="str">
        <f>IFERROR(__xludf.DUMMYFUNCTION("""COMPUTED_VALUE"""),"WOLEVATION")</f>
        <v>WOLEVATION</v>
      </c>
      <c r="D149" s="59">
        <f>IFERROR(__xludf.DUMMYFUNCTION("""COMPUTED_VALUE"""),6.0)</f>
        <v>6</v>
      </c>
      <c r="E149" s="59">
        <f>IFERROR(__xludf.DUMMYFUNCTION("""COMPUTED_VALUE"""),6.0)</f>
        <v>6</v>
      </c>
      <c r="F149" s="59">
        <f>IFERROR(__xludf.DUMMYFUNCTION("""COMPUTED_VALUE"""),0.0)</f>
        <v>0</v>
      </c>
      <c r="G149" s="59">
        <f>IFERROR(__xludf.DUMMYFUNCTION("""COMPUTED_VALUE"""),1.0)</f>
        <v>1</v>
      </c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>
      <c r="A150" s="84">
        <f>IFERROR(__xludf.DUMMYFUNCTION("""COMPUTED_VALUE"""),46081.0)</f>
        <v>46081</v>
      </c>
      <c r="B150" s="59" t="str">
        <f>IFERROR(__xludf.DUMMYFUNCTION("""COMPUTED_VALUE"""),"BLAISE99")</f>
        <v>BLAISE99</v>
      </c>
      <c r="C150" s="59" t="str">
        <f>IFERROR(__xludf.DUMMYFUNCTION("""COMPUTED_VALUE"""),"YEMOLEE")</f>
        <v>YEMOLEE</v>
      </c>
      <c r="D150" s="59">
        <f>IFERROR(__xludf.DUMMYFUNCTION("""COMPUTED_VALUE"""),4.0)</f>
        <v>4</v>
      </c>
      <c r="E150" s="59">
        <f>IFERROR(__xludf.DUMMYFUNCTION("""COMPUTED_VALUE"""),7.0)</f>
        <v>7</v>
      </c>
      <c r="F150" s="59">
        <f>IFERROR(__xludf.DUMMYFUNCTION("""COMPUTED_VALUE"""),0.0)</f>
        <v>0</v>
      </c>
      <c r="G150" s="59">
        <f>IFERROR(__xludf.DUMMYFUNCTION("""COMPUTED_VALUE"""),0.0)</f>
        <v>0</v>
      </c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>
      <c r="A151" s="84">
        <f>IFERROR(__xludf.DUMMYFUNCTION("""COMPUTED_VALUE"""),46081.0)</f>
        <v>46081</v>
      </c>
      <c r="B151" s="59" t="str">
        <f>IFERROR(__xludf.DUMMYFUNCTION("""COMPUTED_VALUE"""),"FLICK")</f>
        <v>FLICK</v>
      </c>
      <c r="C151" s="59" t="str">
        <f>IFERROR(__xludf.DUMMYFUNCTION("""COMPUTED_VALUE"""),"BALO K")</f>
        <v>BALO K</v>
      </c>
      <c r="D151" s="59">
        <f>IFERROR(__xludf.DUMMYFUNCTION("""COMPUTED_VALUE"""),0.0)</f>
        <v>0</v>
      </c>
      <c r="E151" s="59">
        <f>IFERROR(__xludf.DUMMYFUNCTION("""COMPUTED_VALUE"""),3.0)</f>
        <v>3</v>
      </c>
      <c r="F151" s="59">
        <f>IFERROR(__xludf.DUMMYFUNCTION("""COMPUTED_VALUE"""),0.0)</f>
        <v>0</v>
      </c>
      <c r="G151" s="59">
        <f>IFERROR(__xludf.DUMMYFUNCTION("""COMPUTED_VALUE"""),0.0)</f>
        <v>0</v>
      </c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>
      <c r="A152" s="84">
        <f>IFERROR(__xludf.DUMMYFUNCTION("""COMPUTED_VALUE"""),46081.0)</f>
        <v>46081</v>
      </c>
      <c r="B152" s="59" t="str">
        <f>IFERROR(__xludf.DUMMYFUNCTION("""COMPUTED_VALUE"""),"KINGNONEX")</f>
        <v>KINGNONEX</v>
      </c>
      <c r="C152" s="59" t="str">
        <f>IFERROR(__xludf.DUMMYFUNCTION("""COMPUTED_VALUE"""),"MR OGA")</f>
        <v>MR OGA</v>
      </c>
      <c r="D152" s="59">
        <f>IFERROR(__xludf.DUMMYFUNCTION("""COMPUTED_VALUE"""),7.0)</f>
        <v>7</v>
      </c>
      <c r="E152" s="59">
        <f>IFERROR(__xludf.DUMMYFUNCTION("""COMPUTED_VALUE"""),4.0)</f>
        <v>4</v>
      </c>
      <c r="F152" s="59">
        <f>IFERROR(__xludf.DUMMYFUNCTION("""COMPUTED_VALUE"""),1.0)</f>
        <v>1</v>
      </c>
      <c r="G152" s="59">
        <f>IFERROR(__xludf.DUMMYFUNCTION("""COMPUTED_VALUE"""),3.0)</f>
        <v>3</v>
      </c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>
      <c r="A153" s="84">
        <f>IFERROR(__xludf.DUMMYFUNCTION("""COMPUTED_VALUE"""),46081.0)</f>
        <v>46081</v>
      </c>
      <c r="B153" s="59" t="str">
        <f>IFERROR(__xludf.DUMMYFUNCTION("""COMPUTED_VALUE"""),"KAYKAY")</f>
        <v>KAYKAY</v>
      </c>
      <c r="C153" s="59" t="str">
        <f>IFERROR(__xludf.DUMMYFUNCTION("""COMPUTED_VALUE"""),"KHALEEDOY")</f>
        <v>KHALEEDOY</v>
      </c>
      <c r="D153" s="59">
        <f>IFERROR(__xludf.DUMMYFUNCTION("""COMPUTED_VALUE"""),4.0)</f>
        <v>4</v>
      </c>
      <c r="E153" s="59">
        <f>IFERROR(__xludf.DUMMYFUNCTION("""COMPUTED_VALUE"""),10.0)</f>
        <v>10</v>
      </c>
      <c r="F153" s="59">
        <f>IFERROR(__xludf.DUMMYFUNCTION("""COMPUTED_VALUE"""),0.0)</f>
        <v>0</v>
      </c>
      <c r="G153" s="59">
        <f>IFERROR(__xludf.DUMMYFUNCTION("""COMPUTED_VALUE"""),0.0)</f>
        <v>0</v>
      </c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>
      <c r="A154" s="84">
        <f>IFERROR(__xludf.DUMMYFUNCTION("""COMPUTED_VALUE"""),46082.0)</f>
        <v>46082</v>
      </c>
      <c r="B154" s="59" t="str">
        <f>IFERROR(__xludf.DUMMYFUNCTION("""COMPUTED_VALUE"""),"BRIGHT")</f>
        <v>BRIGHT</v>
      </c>
      <c r="C154" s="59" t="str">
        <f>IFERROR(__xludf.DUMMYFUNCTION("""COMPUTED_VALUE"""),"KHALEEDOY")</f>
        <v>KHALEEDOY</v>
      </c>
      <c r="D154" s="59">
        <f>IFERROR(__xludf.DUMMYFUNCTION("""COMPUTED_VALUE"""),6.0)</f>
        <v>6</v>
      </c>
      <c r="E154" s="59">
        <f>IFERROR(__xludf.DUMMYFUNCTION("""COMPUTED_VALUE"""),6.0)</f>
        <v>6</v>
      </c>
      <c r="F154" s="59">
        <f>IFERROR(__xludf.DUMMYFUNCTION("""COMPUTED_VALUE"""),0.0)</f>
        <v>0</v>
      </c>
      <c r="G154" s="59">
        <f>IFERROR(__xludf.DUMMYFUNCTION("""COMPUTED_VALUE"""),1.0)</f>
        <v>1</v>
      </c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>
      <c r="A155" s="84">
        <f>IFERROR(__xludf.DUMMYFUNCTION("""COMPUTED_VALUE"""),46082.0)</f>
        <v>46082</v>
      </c>
      <c r="B155" s="59" t="str">
        <f>IFERROR(__xludf.DUMMYFUNCTION("""COMPUTED_VALUE"""),"FLICK")</f>
        <v>FLICK</v>
      </c>
      <c r="C155" s="59" t="str">
        <f>IFERROR(__xludf.DUMMYFUNCTION("""COMPUTED_VALUE"""),"BAJI SNR")</f>
        <v>BAJI SNR</v>
      </c>
      <c r="D155" s="59">
        <f>IFERROR(__xludf.DUMMYFUNCTION("""COMPUTED_VALUE"""),0.0)</f>
        <v>0</v>
      </c>
      <c r="E155" s="59">
        <f>IFERROR(__xludf.DUMMYFUNCTION("""COMPUTED_VALUE"""),3.0)</f>
        <v>3</v>
      </c>
      <c r="F155" s="59">
        <f>IFERROR(__xludf.DUMMYFUNCTION("""COMPUTED_VALUE"""),0.0)</f>
        <v>0</v>
      </c>
      <c r="G155" s="59">
        <f>IFERROR(__xludf.DUMMYFUNCTION("""COMPUTED_VALUE"""),0.0)</f>
        <v>0</v>
      </c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>
      <c r="A156" s="84">
        <f>IFERROR(__xludf.DUMMYFUNCTION("""COMPUTED_VALUE"""),46082.0)</f>
        <v>46082</v>
      </c>
      <c r="B156" s="59" t="str">
        <f>IFERROR(__xludf.DUMMYFUNCTION("""COMPUTED_VALUE"""),"KAYKAY")</f>
        <v>KAYKAY</v>
      </c>
      <c r="C156" s="59" t="str">
        <f>IFERROR(__xludf.DUMMYFUNCTION("""COMPUTED_VALUE"""),"GURU")</f>
        <v>GURU</v>
      </c>
      <c r="D156" s="59">
        <f>IFERROR(__xludf.DUMMYFUNCTION("""COMPUTED_VALUE"""),8.0)</f>
        <v>8</v>
      </c>
      <c r="E156" s="59">
        <f>IFERROR(__xludf.DUMMYFUNCTION("""COMPUTED_VALUE"""),5.0)</f>
        <v>5</v>
      </c>
      <c r="F156" s="59">
        <f>IFERROR(__xludf.DUMMYFUNCTION("""COMPUTED_VALUE"""),1.0)</f>
        <v>1</v>
      </c>
      <c r="G156" s="59">
        <f>IFERROR(__xludf.DUMMYFUNCTION("""COMPUTED_VALUE"""),3.0)</f>
        <v>3</v>
      </c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>
      <c r="A157" s="84">
        <f>IFERROR(__xludf.DUMMYFUNCTION("""COMPUTED_VALUE"""),46082.0)</f>
        <v>46082</v>
      </c>
      <c r="B157" s="59" t="str">
        <f>IFERROR(__xludf.DUMMYFUNCTION("""COMPUTED_VALUE"""),"SIMPLYY UZO")</f>
        <v>SIMPLYY UZO</v>
      </c>
      <c r="C157" s="59" t="str">
        <f>IFERROR(__xludf.DUMMYFUNCTION("""COMPUTED_VALUE"""),"WOLEVATION")</f>
        <v>WOLEVATION</v>
      </c>
      <c r="D157" s="59">
        <f>IFERROR(__xludf.DUMMYFUNCTION("""COMPUTED_VALUE"""),6.0)</f>
        <v>6</v>
      </c>
      <c r="E157" s="59">
        <f>IFERROR(__xludf.DUMMYFUNCTION("""COMPUTED_VALUE"""),9.0)</f>
        <v>9</v>
      </c>
      <c r="F157" s="59">
        <f>IFERROR(__xludf.DUMMYFUNCTION("""COMPUTED_VALUE"""),0.0)</f>
        <v>0</v>
      </c>
      <c r="G157" s="59">
        <f>IFERROR(__xludf.DUMMYFUNCTION("""COMPUTED_VALUE"""),0.0)</f>
        <v>0</v>
      </c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>
      <c r="A158" s="84">
        <f>IFERROR(__xludf.DUMMYFUNCTION("""COMPUTED_VALUE"""),46082.0)</f>
        <v>46082</v>
      </c>
      <c r="B158" s="59" t="str">
        <f>IFERROR(__xludf.DUMMYFUNCTION("""COMPUTED_VALUE"""),"GAMEWITHJOSH")</f>
        <v>GAMEWITHJOSH</v>
      </c>
      <c r="C158" s="59" t="str">
        <f>IFERROR(__xludf.DUMMYFUNCTION("""COMPUTED_VALUE"""),"YEMOLEE")</f>
        <v>YEMOLEE</v>
      </c>
      <c r="D158" s="59">
        <f>IFERROR(__xludf.DUMMYFUNCTION("""COMPUTED_VALUE"""),2.0)</f>
        <v>2</v>
      </c>
      <c r="E158" s="59">
        <f>IFERROR(__xludf.DUMMYFUNCTION("""COMPUTED_VALUE"""),6.0)</f>
        <v>6</v>
      </c>
      <c r="F158" s="59">
        <f>IFERROR(__xludf.DUMMYFUNCTION("""COMPUTED_VALUE"""),0.0)</f>
        <v>0</v>
      </c>
      <c r="G158" s="59">
        <f>IFERROR(__xludf.DUMMYFUNCTION("""COMPUTED_VALUE"""),0.0)</f>
        <v>0</v>
      </c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>
      <c r="A159" s="84">
        <f>IFERROR(__xludf.DUMMYFUNCTION("""COMPUTED_VALUE"""),46082.0)</f>
        <v>46082</v>
      </c>
      <c r="B159" s="59" t="str">
        <f>IFERROR(__xludf.DUMMYFUNCTION("""COMPUTED_VALUE"""),"BLAISE99")</f>
        <v>BLAISE99</v>
      </c>
      <c r="C159" s="59" t="str">
        <f>IFERROR(__xludf.DUMMYFUNCTION("""COMPUTED_VALUE"""),"ANIFE")</f>
        <v>ANIFE</v>
      </c>
      <c r="D159" s="59">
        <f>IFERROR(__xludf.DUMMYFUNCTION("""COMPUTED_VALUE"""),0.0)</f>
        <v>0</v>
      </c>
      <c r="E159" s="59">
        <f>IFERROR(__xludf.DUMMYFUNCTION("""COMPUTED_VALUE"""),3.0)</f>
        <v>3</v>
      </c>
      <c r="F159" s="59">
        <f>IFERROR(__xludf.DUMMYFUNCTION("""COMPUTED_VALUE"""),0.0)</f>
        <v>0</v>
      </c>
      <c r="G159" s="59">
        <f>IFERROR(__xludf.DUMMYFUNCTION("""COMPUTED_VALUE"""),0.0)</f>
        <v>0</v>
      </c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>
      <c r="A160" s="84">
        <f>IFERROR(__xludf.DUMMYFUNCTION("""COMPUTED_VALUE"""),46082.0)</f>
        <v>46082</v>
      </c>
      <c r="B160" s="59" t="str">
        <f>IFERROR(__xludf.DUMMYFUNCTION("""COMPUTED_VALUE"""),"KAYKAY")</f>
        <v>KAYKAY</v>
      </c>
      <c r="C160" s="59" t="str">
        <f>IFERROR(__xludf.DUMMYFUNCTION("""COMPUTED_VALUE"""),"DADABOI")</f>
        <v>DADABOI</v>
      </c>
      <c r="D160" s="59">
        <f>IFERROR(__xludf.DUMMYFUNCTION("""COMPUTED_VALUE"""),4.0)</f>
        <v>4</v>
      </c>
      <c r="E160" s="59">
        <f>IFERROR(__xludf.DUMMYFUNCTION("""COMPUTED_VALUE"""),3.0)</f>
        <v>3</v>
      </c>
      <c r="F160" s="59">
        <f>IFERROR(__xludf.DUMMYFUNCTION("""COMPUTED_VALUE"""),1.0)</f>
        <v>1</v>
      </c>
      <c r="G160" s="59">
        <f>IFERROR(__xludf.DUMMYFUNCTION("""COMPUTED_VALUE"""),3.0)</f>
        <v>3</v>
      </c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>
      <c r="A161" s="84">
        <f>IFERROR(__xludf.DUMMYFUNCTION("""COMPUTED_VALUE"""),46082.0)</f>
        <v>46082</v>
      </c>
      <c r="B161" s="59" t="str">
        <f>IFERROR(__xludf.DUMMYFUNCTION("""COMPUTED_VALUE"""),"FLICK")</f>
        <v>FLICK</v>
      </c>
      <c r="C161" s="59" t="str">
        <f>IFERROR(__xludf.DUMMYFUNCTION("""COMPUTED_VALUE"""),"SIMPLYY UZO")</f>
        <v>SIMPLYY UZO</v>
      </c>
      <c r="D161" s="59">
        <f>IFERROR(__xludf.DUMMYFUNCTION("""COMPUTED_VALUE"""),0.0)</f>
        <v>0</v>
      </c>
      <c r="E161" s="59">
        <f>IFERROR(__xludf.DUMMYFUNCTION("""COMPUTED_VALUE"""),3.0)</f>
        <v>3</v>
      </c>
      <c r="F161" s="59">
        <f>IFERROR(__xludf.DUMMYFUNCTION("""COMPUTED_VALUE"""),0.0)</f>
        <v>0</v>
      </c>
      <c r="G161" s="59">
        <f>IFERROR(__xludf.DUMMYFUNCTION("""COMPUTED_VALUE"""),0.0)</f>
        <v>0</v>
      </c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>
      <c r="A162" s="84">
        <f>IFERROR(__xludf.DUMMYFUNCTION("""COMPUTED_VALUE"""),46082.0)</f>
        <v>46082</v>
      </c>
      <c r="B162" s="59" t="str">
        <f>IFERROR(__xludf.DUMMYFUNCTION("""COMPUTED_VALUE"""),"DRACARYS")</f>
        <v>DRACARYS</v>
      </c>
      <c r="C162" s="59" t="str">
        <f>IFERROR(__xludf.DUMMYFUNCTION("""COMPUTED_VALUE"""),"SON OF GOD")</f>
        <v>SON OF GOD</v>
      </c>
      <c r="D162" s="59">
        <f>IFERROR(__xludf.DUMMYFUNCTION("""COMPUTED_VALUE"""),2.0)</f>
        <v>2</v>
      </c>
      <c r="E162" s="59">
        <f>IFERROR(__xludf.DUMMYFUNCTION("""COMPUTED_VALUE"""),1.0)</f>
        <v>1</v>
      </c>
      <c r="F162" s="59">
        <f>IFERROR(__xludf.DUMMYFUNCTION("""COMPUTED_VALUE"""),1.0)</f>
        <v>1</v>
      </c>
      <c r="G162" s="59">
        <f>IFERROR(__xludf.DUMMYFUNCTION("""COMPUTED_VALUE"""),3.0)</f>
        <v>3</v>
      </c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>
      <c r="A163" s="84">
        <f>IFERROR(__xludf.DUMMYFUNCTION("""COMPUTED_VALUE"""),46082.0)</f>
        <v>46082</v>
      </c>
      <c r="B163" s="59" t="str">
        <f>IFERROR(__xludf.DUMMYFUNCTION("""COMPUTED_VALUE"""),"DRACARYS")</f>
        <v>DRACARYS</v>
      </c>
      <c r="C163" s="59" t="str">
        <f>IFERROR(__xludf.DUMMYFUNCTION("""COMPUTED_VALUE"""),"KHALEEDOY")</f>
        <v>KHALEEDOY</v>
      </c>
      <c r="D163" s="59">
        <f>IFERROR(__xludf.DUMMYFUNCTION("""COMPUTED_VALUE"""),4.0)</f>
        <v>4</v>
      </c>
      <c r="E163" s="59">
        <f>IFERROR(__xludf.DUMMYFUNCTION("""COMPUTED_VALUE"""),3.0)</f>
        <v>3</v>
      </c>
      <c r="F163" s="59">
        <f>IFERROR(__xludf.DUMMYFUNCTION("""COMPUTED_VALUE"""),1.0)</f>
        <v>1</v>
      </c>
      <c r="G163" s="59">
        <f>IFERROR(__xludf.DUMMYFUNCTION("""COMPUTED_VALUE"""),3.0)</f>
        <v>3</v>
      </c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>
      <c r="A164" s="84">
        <f>IFERROR(__xludf.DUMMYFUNCTION("""COMPUTED_VALUE"""),46082.0)</f>
        <v>46082</v>
      </c>
      <c r="B164" s="59" t="str">
        <f>IFERROR(__xludf.DUMMYFUNCTION("""COMPUTED_VALUE"""),"RHYMEZ")</f>
        <v>RHYMEZ</v>
      </c>
      <c r="C164" s="59" t="str">
        <f>IFERROR(__xludf.DUMMYFUNCTION("""COMPUTED_VALUE"""),"MR OGA")</f>
        <v>MR OGA</v>
      </c>
      <c r="D164" s="59">
        <f>IFERROR(__xludf.DUMMYFUNCTION("""COMPUTED_VALUE"""),4.0)</f>
        <v>4</v>
      </c>
      <c r="E164" s="59">
        <f>IFERROR(__xludf.DUMMYFUNCTION("""COMPUTED_VALUE"""),3.0)</f>
        <v>3</v>
      </c>
      <c r="F164" s="59">
        <f>IFERROR(__xludf.DUMMYFUNCTION("""COMPUTED_VALUE"""),1.0)</f>
        <v>1</v>
      </c>
      <c r="G164" s="59">
        <f>IFERROR(__xludf.DUMMYFUNCTION("""COMPUTED_VALUE"""),3.0)</f>
        <v>3</v>
      </c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>
      <c r="A165" s="84">
        <f>IFERROR(__xludf.DUMMYFUNCTION("""COMPUTED_VALUE"""),46082.0)</f>
        <v>46082</v>
      </c>
      <c r="B165" s="59" t="str">
        <f>IFERROR(__xludf.DUMMYFUNCTION("""COMPUTED_VALUE"""),"TACTICAL")</f>
        <v>TACTICAL</v>
      </c>
      <c r="C165" s="59" t="str">
        <f>IFERROR(__xludf.DUMMYFUNCTION("""COMPUTED_VALUE"""),"DADABOI")</f>
        <v>DADABOI</v>
      </c>
      <c r="D165" s="59">
        <f>IFERROR(__xludf.DUMMYFUNCTION("""COMPUTED_VALUE"""),5.0)</f>
        <v>5</v>
      </c>
      <c r="E165" s="59">
        <f>IFERROR(__xludf.DUMMYFUNCTION("""COMPUTED_VALUE"""),6.0)</f>
        <v>6</v>
      </c>
      <c r="F165" s="59">
        <f>IFERROR(__xludf.DUMMYFUNCTION("""COMPUTED_VALUE"""),0.0)</f>
        <v>0</v>
      </c>
      <c r="G165" s="59">
        <f>IFERROR(__xludf.DUMMYFUNCTION("""COMPUTED_VALUE"""),0.0)</f>
        <v>0</v>
      </c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>
      <c r="A166" s="84">
        <f>IFERROR(__xludf.DUMMYFUNCTION("""COMPUTED_VALUE"""),46088.0)</f>
        <v>46088</v>
      </c>
      <c r="B166" s="59" t="str">
        <f>IFERROR(__xludf.DUMMYFUNCTION("""COMPUTED_VALUE"""),"DADABOI")</f>
        <v>DADABOI</v>
      </c>
      <c r="C166" s="59" t="str">
        <f>IFERROR(__xludf.DUMMYFUNCTION("""COMPUTED_VALUE"""),"GURU")</f>
        <v>GURU</v>
      </c>
      <c r="D166" s="59">
        <f>IFERROR(__xludf.DUMMYFUNCTION("""COMPUTED_VALUE"""),3.0)</f>
        <v>3</v>
      </c>
      <c r="E166" s="59">
        <f>IFERROR(__xludf.DUMMYFUNCTION("""COMPUTED_VALUE"""),4.0)</f>
        <v>4</v>
      </c>
      <c r="F166" s="59">
        <f>IFERROR(__xludf.DUMMYFUNCTION("""COMPUTED_VALUE"""),0.0)</f>
        <v>0</v>
      </c>
      <c r="G166" s="59">
        <f>IFERROR(__xludf.DUMMYFUNCTION("""COMPUTED_VALUE"""),0.0)</f>
        <v>0</v>
      </c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>
      <c r="A167" s="84">
        <f>IFERROR(__xludf.DUMMYFUNCTION("""COMPUTED_VALUE"""),46088.0)</f>
        <v>46088</v>
      </c>
      <c r="B167" s="59" t="str">
        <f>IFERROR(__xludf.DUMMYFUNCTION("""COMPUTED_VALUE"""),"RHYMEZ")</f>
        <v>RHYMEZ</v>
      </c>
      <c r="C167" s="59" t="str">
        <f>IFERROR(__xludf.DUMMYFUNCTION("""COMPUTED_VALUE"""),"FLICK")</f>
        <v>FLICK</v>
      </c>
      <c r="D167" s="59">
        <f>IFERROR(__xludf.DUMMYFUNCTION("""COMPUTED_VALUE"""),7.0)</f>
        <v>7</v>
      </c>
      <c r="E167" s="59">
        <f>IFERROR(__xludf.DUMMYFUNCTION("""COMPUTED_VALUE"""),2.0)</f>
        <v>2</v>
      </c>
      <c r="F167" s="59">
        <f>IFERROR(__xludf.DUMMYFUNCTION("""COMPUTED_VALUE"""),1.0)</f>
        <v>1</v>
      </c>
      <c r="G167" s="59">
        <f>IFERROR(__xludf.DUMMYFUNCTION("""COMPUTED_VALUE"""),3.0)</f>
        <v>3</v>
      </c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>
      <c r="A168" s="84">
        <f>IFERROR(__xludf.DUMMYFUNCTION("""COMPUTED_VALUE"""),46088.0)</f>
        <v>46088</v>
      </c>
      <c r="B168" s="59" t="str">
        <f>IFERROR(__xludf.DUMMYFUNCTION("""COMPUTED_VALUE"""),"KINGNONEX")</f>
        <v>KINGNONEX</v>
      </c>
      <c r="C168" s="59" t="str">
        <f>IFERROR(__xludf.DUMMYFUNCTION("""COMPUTED_VALUE"""),"SON OF GOD")</f>
        <v>SON OF GOD</v>
      </c>
      <c r="D168" s="59">
        <f>IFERROR(__xludf.DUMMYFUNCTION("""COMPUTED_VALUE"""),3.0)</f>
        <v>3</v>
      </c>
      <c r="E168" s="59">
        <f>IFERROR(__xludf.DUMMYFUNCTION("""COMPUTED_VALUE"""),0.0)</f>
        <v>0</v>
      </c>
      <c r="F168" s="59">
        <f>IFERROR(__xludf.DUMMYFUNCTION("""COMPUTED_VALUE"""),1.0)</f>
        <v>1</v>
      </c>
      <c r="G168" s="59">
        <f>IFERROR(__xludf.DUMMYFUNCTION("""COMPUTED_VALUE"""),3.0)</f>
        <v>3</v>
      </c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>
      <c r="A169" s="84">
        <f>IFERROR(__xludf.DUMMYFUNCTION("""COMPUTED_VALUE"""),46088.0)</f>
        <v>46088</v>
      </c>
      <c r="B169" s="59" t="str">
        <f>IFERROR(__xludf.DUMMYFUNCTION("""COMPUTED_VALUE"""),"BLAISE99")</f>
        <v>BLAISE99</v>
      </c>
      <c r="C169" s="59" t="str">
        <f>IFERROR(__xludf.DUMMYFUNCTION("""COMPUTED_VALUE"""),"SIMPLYY UZO")</f>
        <v>SIMPLYY UZO</v>
      </c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>
      <c r="A170" s="84">
        <f>IFERROR(__xludf.DUMMYFUNCTION("""COMPUTED_VALUE"""),46088.0)</f>
        <v>46088</v>
      </c>
      <c r="B170" s="59" t="str">
        <f>IFERROR(__xludf.DUMMYFUNCTION("""COMPUTED_VALUE"""),"DRACARYS")</f>
        <v>DRACARYS</v>
      </c>
      <c r="C170" s="59" t="str">
        <f>IFERROR(__xludf.DUMMYFUNCTION("""COMPUTED_VALUE"""),"MR OGA")</f>
        <v>MR OGA</v>
      </c>
      <c r="D170" s="59">
        <f>IFERROR(__xludf.DUMMYFUNCTION("""COMPUTED_VALUE"""),6.0)</f>
        <v>6</v>
      </c>
      <c r="E170" s="59">
        <f>IFERROR(__xludf.DUMMYFUNCTION("""COMPUTED_VALUE"""),8.0)</f>
        <v>8</v>
      </c>
      <c r="F170" s="59">
        <f>IFERROR(__xludf.DUMMYFUNCTION("""COMPUTED_VALUE"""),0.0)</f>
        <v>0</v>
      </c>
      <c r="G170" s="59">
        <f>IFERROR(__xludf.DUMMYFUNCTION("""COMPUTED_VALUE"""),0.0)</f>
        <v>0</v>
      </c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>
      <c r="A171" s="84">
        <f>IFERROR(__xludf.DUMMYFUNCTION("""COMPUTED_VALUE"""),46088.0)</f>
        <v>46088</v>
      </c>
      <c r="B171" s="59" t="str">
        <f>IFERROR(__xludf.DUMMYFUNCTION("""COMPUTED_VALUE"""),"DADABOI")</f>
        <v>DADABOI</v>
      </c>
      <c r="C171" s="59" t="str">
        <f>IFERROR(__xludf.DUMMYFUNCTION("""COMPUTED_VALUE"""),"BALO K")</f>
        <v>BALO K</v>
      </c>
      <c r="D171" s="59">
        <f>IFERROR(__xludf.DUMMYFUNCTION("""COMPUTED_VALUE"""),9.0)</f>
        <v>9</v>
      </c>
      <c r="E171" s="59">
        <f>IFERROR(__xludf.DUMMYFUNCTION("""COMPUTED_VALUE"""),1.0)</f>
        <v>1</v>
      </c>
      <c r="F171" s="59">
        <f>IFERROR(__xludf.DUMMYFUNCTION("""COMPUTED_VALUE"""),1.0)</f>
        <v>1</v>
      </c>
      <c r="G171" s="59">
        <f>IFERROR(__xludf.DUMMYFUNCTION("""COMPUTED_VALUE"""),3.0)</f>
        <v>3</v>
      </c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>
      <c r="A172" s="84">
        <f>IFERROR(__xludf.DUMMYFUNCTION("""COMPUTED_VALUE"""),46088.0)</f>
        <v>46088</v>
      </c>
      <c r="B172" s="59" t="str">
        <f>IFERROR(__xludf.DUMMYFUNCTION("""COMPUTED_VALUE"""),"ANIFE")</f>
        <v>ANIFE</v>
      </c>
      <c r="C172" s="59" t="str">
        <f>IFERROR(__xludf.DUMMYFUNCTION("""COMPUTED_VALUE"""),"YEMOLEE")</f>
        <v>YEMOLEE</v>
      </c>
      <c r="D172" s="59">
        <f>IFERROR(__xludf.DUMMYFUNCTION("""COMPUTED_VALUE"""),6.0)</f>
        <v>6</v>
      </c>
      <c r="E172" s="59">
        <f>IFERROR(__xludf.DUMMYFUNCTION("""COMPUTED_VALUE"""),6.0)</f>
        <v>6</v>
      </c>
      <c r="F172" s="59">
        <f>IFERROR(__xludf.DUMMYFUNCTION("""COMPUTED_VALUE"""),0.0)</f>
        <v>0</v>
      </c>
      <c r="G172" s="59">
        <f>IFERROR(__xludf.DUMMYFUNCTION("""COMPUTED_VALUE"""),1.0)</f>
        <v>1</v>
      </c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>
      <c r="A173" s="84">
        <f>IFERROR(__xludf.DUMMYFUNCTION("""COMPUTED_VALUE"""),46088.0)</f>
        <v>46088</v>
      </c>
      <c r="B173" s="59" t="str">
        <f>IFERROR(__xludf.DUMMYFUNCTION("""COMPUTED_VALUE"""),"BRIGHT")</f>
        <v>BRIGHT</v>
      </c>
      <c r="C173" s="59" t="str">
        <f>IFERROR(__xludf.DUMMYFUNCTION("""COMPUTED_VALUE"""),"TACTICAL")</f>
        <v>TACTICAL</v>
      </c>
      <c r="D173" s="59">
        <f>IFERROR(__xludf.DUMMYFUNCTION("""COMPUTED_VALUE"""),3.0)</f>
        <v>3</v>
      </c>
      <c r="E173" s="59">
        <f>IFERROR(__xludf.DUMMYFUNCTION("""COMPUTED_VALUE"""),6.0)</f>
        <v>6</v>
      </c>
      <c r="F173" s="59">
        <f>IFERROR(__xludf.DUMMYFUNCTION("""COMPUTED_VALUE"""),0.0)</f>
        <v>0</v>
      </c>
      <c r="G173" s="59">
        <f>IFERROR(__xludf.DUMMYFUNCTION("""COMPUTED_VALUE"""),0.0)</f>
        <v>0</v>
      </c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>
      <c r="A174" s="84">
        <f>IFERROR(__xludf.DUMMYFUNCTION("""COMPUTED_VALUE"""),46088.0)</f>
        <v>46088</v>
      </c>
      <c r="B174" s="59" t="str">
        <f>IFERROR(__xludf.DUMMYFUNCTION("""COMPUTED_VALUE"""),"WOLEVATION")</f>
        <v>WOLEVATION</v>
      </c>
      <c r="C174" s="59" t="str">
        <f>IFERROR(__xludf.DUMMYFUNCTION("""COMPUTED_VALUE"""),"GURU")</f>
        <v>GURU</v>
      </c>
      <c r="D174" s="59">
        <f>IFERROR(__xludf.DUMMYFUNCTION("""COMPUTED_VALUE"""),4.0)</f>
        <v>4</v>
      </c>
      <c r="E174" s="59">
        <f>IFERROR(__xludf.DUMMYFUNCTION("""COMPUTED_VALUE"""),5.0)</f>
        <v>5</v>
      </c>
      <c r="F174" s="59">
        <f>IFERROR(__xludf.DUMMYFUNCTION("""COMPUTED_VALUE"""),0.0)</f>
        <v>0</v>
      </c>
      <c r="G174" s="59">
        <f>IFERROR(__xludf.DUMMYFUNCTION("""COMPUTED_VALUE"""),0.0)</f>
        <v>0</v>
      </c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>
      <c r="A175" s="84">
        <f>IFERROR(__xludf.DUMMYFUNCTION("""COMPUTED_VALUE"""),46088.0)</f>
        <v>46088</v>
      </c>
      <c r="B175" s="59" t="str">
        <f>IFERROR(__xludf.DUMMYFUNCTION("""COMPUTED_VALUE"""),"FLICK")</f>
        <v>FLICK</v>
      </c>
      <c r="C175" s="59" t="str">
        <f>IFERROR(__xludf.DUMMYFUNCTION("""COMPUTED_VALUE"""),"KINGNONEX")</f>
        <v>KINGNONEX</v>
      </c>
      <c r="D175" s="59">
        <f>IFERROR(__xludf.DUMMYFUNCTION("""COMPUTED_VALUE"""),1.0)</f>
        <v>1</v>
      </c>
      <c r="E175" s="59">
        <f>IFERROR(__xludf.DUMMYFUNCTION("""COMPUTED_VALUE"""),10.0)</f>
        <v>10</v>
      </c>
      <c r="F175" s="59">
        <f>IFERROR(__xludf.DUMMYFUNCTION("""COMPUTED_VALUE"""),0.0)</f>
        <v>0</v>
      </c>
      <c r="G175" s="59">
        <f>IFERROR(__xludf.DUMMYFUNCTION("""COMPUTED_VALUE"""),0.0)</f>
        <v>0</v>
      </c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>
      <c r="A176" s="84">
        <f>IFERROR(__xludf.DUMMYFUNCTION("""COMPUTED_VALUE"""),46088.0)</f>
        <v>46088</v>
      </c>
      <c r="B176" s="59" t="str">
        <f>IFERROR(__xludf.DUMMYFUNCTION("""COMPUTED_VALUE"""),"YEMOLEE")</f>
        <v>YEMOLEE</v>
      </c>
      <c r="C176" s="59" t="str">
        <f>IFERROR(__xludf.DUMMYFUNCTION("""COMPUTED_VALUE"""),"TACTICAL")</f>
        <v>TACTICAL</v>
      </c>
      <c r="D176" s="59">
        <f>IFERROR(__xludf.DUMMYFUNCTION("""COMPUTED_VALUE"""),4.0)</f>
        <v>4</v>
      </c>
      <c r="E176" s="59">
        <f>IFERROR(__xludf.DUMMYFUNCTION("""COMPUTED_VALUE"""),4.0)</f>
        <v>4</v>
      </c>
      <c r="F176" s="59">
        <f>IFERROR(__xludf.DUMMYFUNCTION("""COMPUTED_VALUE"""),0.0)</f>
        <v>0</v>
      </c>
      <c r="G176" s="59">
        <f>IFERROR(__xludf.DUMMYFUNCTION("""COMPUTED_VALUE"""),1.0)</f>
        <v>1</v>
      </c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>
      <c r="A177" s="84">
        <f>IFERROR(__xludf.DUMMYFUNCTION("""COMPUTED_VALUE"""),46088.0)</f>
        <v>46088</v>
      </c>
      <c r="B177" s="59" t="str">
        <f>IFERROR(__xludf.DUMMYFUNCTION("""COMPUTED_VALUE"""),"BALO K")</f>
        <v>BALO K</v>
      </c>
      <c r="C177" s="59" t="str">
        <f>IFERROR(__xludf.DUMMYFUNCTION("""COMPUTED_VALUE"""),"DRACARYS")</f>
        <v>DRACARYS</v>
      </c>
      <c r="D177" s="59">
        <f>IFERROR(__xludf.DUMMYFUNCTION("""COMPUTED_VALUE"""),3.0)</f>
        <v>3</v>
      </c>
      <c r="E177" s="59">
        <f>IFERROR(__xludf.DUMMYFUNCTION("""COMPUTED_VALUE"""),7.0)</f>
        <v>7</v>
      </c>
      <c r="F177" s="59">
        <f>IFERROR(__xludf.DUMMYFUNCTION("""COMPUTED_VALUE"""),0.0)</f>
        <v>0</v>
      </c>
      <c r="G177" s="59">
        <f>IFERROR(__xludf.DUMMYFUNCTION("""COMPUTED_VALUE"""),0.0)</f>
        <v>0</v>
      </c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>
      <c r="A178" s="84">
        <f>IFERROR(__xludf.DUMMYFUNCTION("""COMPUTED_VALUE"""),46088.0)</f>
        <v>46088</v>
      </c>
      <c r="B178" s="59" t="str">
        <f>IFERROR(__xludf.DUMMYFUNCTION("""COMPUTED_VALUE"""),"WOLEVATION")</f>
        <v>WOLEVATION</v>
      </c>
      <c r="C178" s="59" t="str">
        <f>IFERROR(__xludf.DUMMYFUNCTION("""COMPUTED_VALUE"""),"KAYKAY")</f>
        <v>KAYKAY</v>
      </c>
      <c r="D178" s="59">
        <f>IFERROR(__xludf.DUMMYFUNCTION("""COMPUTED_VALUE"""),3.0)</f>
        <v>3</v>
      </c>
      <c r="E178" s="59">
        <f>IFERROR(__xludf.DUMMYFUNCTION("""COMPUTED_VALUE"""),4.0)</f>
        <v>4</v>
      </c>
      <c r="F178" s="59">
        <f>IFERROR(__xludf.DUMMYFUNCTION("""COMPUTED_VALUE"""),0.0)</f>
        <v>0</v>
      </c>
      <c r="G178" s="59">
        <f>IFERROR(__xludf.DUMMYFUNCTION("""COMPUTED_VALUE"""),0.0)</f>
        <v>0</v>
      </c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>
      <c r="A179" s="84">
        <f>IFERROR(__xludf.DUMMYFUNCTION("""COMPUTED_VALUE"""),46088.0)</f>
        <v>46088</v>
      </c>
      <c r="B179" s="59" t="str">
        <f>IFERROR(__xludf.DUMMYFUNCTION("""COMPUTED_VALUE"""),"BAJI SNR")</f>
        <v>BAJI SNR</v>
      </c>
      <c r="C179" s="59" t="str">
        <f>IFERROR(__xludf.DUMMYFUNCTION("""COMPUTED_VALUE"""),"KAYKAY")</f>
        <v>KAYKAY</v>
      </c>
      <c r="D179" s="59">
        <f>IFERROR(__xludf.DUMMYFUNCTION("""COMPUTED_VALUE"""),0.0)</f>
        <v>0</v>
      </c>
      <c r="E179" s="59">
        <f>IFERROR(__xludf.DUMMYFUNCTION("""COMPUTED_VALUE"""),3.0)</f>
        <v>3</v>
      </c>
      <c r="F179" s="59">
        <f>IFERROR(__xludf.DUMMYFUNCTION("""COMPUTED_VALUE"""),0.0)</f>
        <v>0</v>
      </c>
      <c r="G179" s="59">
        <f>IFERROR(__xludf.DUMMYFUNCTION("""COMPUTED_VALUE"""),0.0)</f>
        <v>0</v>
      </c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>
      <c r="A180" s="84">
        <f>IFERROR(__xludf.DUMMYFUNCTION("""COMPUTED_VALUE"""),46089.0)</f>
        <v>46089</v>
      </c>
      <c r="B180" s="59" t="str">
        <f>IFERROR(__xludf.DUMMYFUNCTION("""COMPUTED_VALUE"""),"BAJI SNR")</f>
        <v>BAJI SNR</v>
      </c>
      <c r="C180" s="59" t="str">
        <f>IFERROR(__xludf.DUMMYFUNCTION("""COMPUTED_VALUE"""),"DADABOI")</f>
        <v>DADABOI</v>
      </c>
      <c r="D180" s="59">
        <f>IFERROR(__xludf.DUMMYFUNCTION("""COMPUTED_VALUE"""),0.0)</f>
        <v>0</v>
      </c>
      <c r="E180" s="59">
        <f>IFERROR(__xludf.DUMMYFUNCTION("""COMPUTED_VALUE"""),3.0)</f>
        <v>3</v>
      </c>
      <c r="F180" s="59">
        <f>IFERROR(__xludf.DUMMYFUNCTION("""COMPUTED_VALUE"""),0.0)</f>
        <v>0</v>
      </c>
      <c r="G180" s="59">
        <f>IFERROR(__xludf.DUMMYFUNCTION("""COMPUTED_VALUE"""),0.0)</f>
        <v>0</v>
      </c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>
      <c r="A181" s="84">
        <f>IFERROR(__xludf.DUMMYFUNCTION("""COMPUTED_VALUE"""),46089.0)</f>
        <v>46089</v>
      </c>
      <c r="B181" s="59" t="str">
        <f>IFERROR(__xludf.DUMMYFUNCTION("""COMPUTED_VALUE"""),"DRACARYS")</f>
        <v>DRACARYS</v>
      </c>
      <c r="C181" s="59" t="str">
        <f>IFERROR(__xludf.DUMMYFUNCTION("""COMPUTED_VALUE"""),"TACTICAL")</f>
        <v>TACTICAL</v>
      </c>
      <c r="D181" s="59">
        <f>IFERROR(__xludf.DUMMYFUNCTION("""COMPUTED_VALUE"""),6.0)</f>
        <v>6</v>
      </c>
      <c r="E181" s="59">
        <f>IFERROR(__xludf.DUMMYFUNCTION("""COMPUTED_VALUE"""),5.0)</f>
        <v>5</v>
      </c>
      <c r="F181" s="59">
        <f>IFERROR(__xludf.DUMMYFUNCTION("""COMPUTED_VALUE"""),1.0)</f>
        <v>1</v>
      </c>
      <c r="G181" s="59">
        <f>IFERROR(__xludf.DUMMYFUNCTION("""COMPUTED_VALUE"""),3.0)</f>
        <v>3</v>
      </c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>
      <c r="A182" s="84">
        <f>IFERROR(__xludf.DUMMYFUNCTION("""COMPUTED_VALUE"""),46089.0)</f>
        <v>46089</v>
      </c>
      <c r="B182" s="59" t="str">
        <f>IFERROR(__xludf.DUMMYFUNCTION("""COMPUTED_VALUE"""),"KHALEEDOY")</f>
        <v>KHALEEDOY</v>
      </c>
      <c r="C182" s="59" t="str">
        <f>IFERROR(__xludf.DUMMYFUNCTION("""COMPUTED_VALUE"""),"ANIFE")</f>
        <v>ANIFE</v>
      </c>
      <c r="D182" s="59">
        <f>IFERROR(__xludf.DUMMYFUNCTION("""COMPUTED_VALUE"""),0.0)</f>
        <v>0</v>
      </c>
      <c r="E182" s="59">
        <f>IFERROR(__xludf.DUMMYFUNCTION("""COMPUTED_VALUE"""),3.0)</f>
        <v>3</v>
      </c>
      <c r="F182" s="59">
        <f>IFERROR(__xludf.DUMMYFUNCTION("""COMPUTED_VALUE"""),0.0)</f>
        <v>0</v>
      </c>
      <c r="G182" s="59">
        <f>IFERROR(__xludf.DUMMYFUNCTION("""COMPUTED_VALUE"""),0.0)</f>
        <v>0</v>
      </c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>
      <c r="A183" s="84">
        <f>IFERROR(__xludf.DUMMYFUNCTION("""COMPUTED_VALUE"""),46089.0)</f>
        <v>46089</v>
      </c>
      <c r="B183" s="59" t="str">
        <f>IFERROR(__xludf.DUMMYFUNCTION("""COMPUTED_VALUE"""),"GURU")</f>
        <v>GURU</v>
      </c>
      <c r="C183" s="59" t="str">
        <f>IFERROR(__xludf.DUMMYFUNCTION("""COMPUTED_VALUE"""),"GAMEWITHJOSH")</f>
        <v>GAMEWITHJOSH</v>
      </c>
      <c r="D183" s="59">
        <f>IFERROR(__xludf.DUMMYFUNCTION("""COMPUTED_VALUE"""),7.0)</f>
        <v>7</v>
      </c>
      <c r="E183" s="59">
        <f>IFERROR(__xludf.DUMMYFUNCTION("""COMPUTED_VALUE"""),5.0)</f>
        <v>5</v>
      </c>
      <c r="F183" s="59">
        <f>IFERROR(__xludf.DUMMYFUNCTION("""COMPUTED_VALUE"""),1.0)</f>
        <v>1</v>
      </c>
      <c r="G183" s="59">
        <f>IFERROR(__xludf.DUMMYFUNCTION("""COMPUTED_VALUE"""),3.0)</f>
        <v>3</v>
      </c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>
      <c r="A184" s="84">
        <f>IFERROR(__xludf.DUMMYFUNCTION("""COMPUTED_VALUE"""),46089.0)</f>
        <v>46089</v>
      </c>
      <c r="B184" s="59" t="str">
        <f>IFERROR(__xludf.DUMMYFUNCTION("""COMPUTED_VALUE"""),"FLICK")</f>
        <v>FLICK</v>
      </c>
      <c r="C184" s="59" t="str">
        <f>IFERROR(__xludf.DUMMYFUNCTION("""COMPUTED_VALUE"""),"BRIGHT")</f>
        <v>BRIGHT</v>
      </c>
      <c r="D184" s="59">
        <f>IFERROR(__xludf.DUMMYFUNCTION("""COMPUTED_VALUE"""),5.0)</f>
        <v>5</v>
      </c>
      <c r="E184" s="59">
        <f>IFERROR(__xludf.DUMMYFUNCTION("""COMPUTED_VALUE"""),4.0)</f>
        <v>4</v>
      </c>
      <c r="F184" s="59">
        <f>IFERROR(__xludf.DUMMYFUNCTION("""COMPUTED_VALUE"""),1.0)</f>
        <v>1</v>
      </c>
      <c r="G184" s="59">
        <f>IFERROR(__xludf.DUMMYFUNCTION("""COMPUTED_VALUE"""),3.0)</f>
        <v>3</v>
      </c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>
      <c r="A185" s="84">
        <f>IFERROR(__xludf.DUMMYFUNCTION("""COMPUTED_VALUE"""),46089.0)</f>
        <v>46089</v>
      </c>
      <c r="B185" s="59" t="str">
        <f>IFERROR(__xludf.DUMMYFUNCTION("""COMPUTED_VALUE"""),"WOLEVATION")</f>
        <v>WOLEVATION</v>
      </c>
      <c r="C185" s="59" t="str">
        <f>IFERROR(__xludf.DUMMYFUNCTION("""COMPUTED_VALUE"""),"MR OGA")</f>
        <v>MR OGA</v>
      </c>
      <c r="D185" s="59">
        <f>IFERROR(__xludf.DUMMYFUNCTION("""COMPUTED_VALUE"""),6.0)</f>
        <v>6</v>
      </c>
      <c r="E185" s="59">
        <f>IFERROR(__xludf.DUMMYFUNCTION("""COMPUTED_VALUE"""),6.0)</f>
        <v>6</v>
      </c>
      <c r="F185" s="59">
        <f>IFERROR(__xludf.DUMMYFUNCTION("""COMPUTED_VALUE"""),0.0)</f>
        <v>0</v>
      </c>
      <c r="G185" s="59">
        <f>IFERROR(__xludf.DUMMYFUNCTION("""COMPUTED_VALUE"""),1.0)</f>
        <v>1</v>
      </c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>
      <c r="A186" s="84">
        <f>IFERROR(__xludf.DUMMYFUNCTION("""COMPUTED_VALUE"""),46089.0)</f>
        <v>46089</v>
      </c>
      <c r="B186" s="59" t="str">
        <f>IFERROR(__xludf.DUMMYFUNCTION("""COMPUTED_VALUE"""),"SON OF GOD")</f>
        <v>SON OF GOD</v>
      </c>
      <c r="C186" s="59" t="str">
        <f>IFERROR(__xludf.DUMMYFUNCTION("""COMPUTED_VALUE"""),"SIMPLYY UZO")</f>
        <v>SIMPLYY UZO</v>
      </c>
      <c r="D186" s="59">
        <f>IFERROR(__xludf.DUMMYFUNCTION("""COMPUTED_VALUE"""),3.0)</f>
        <v>3</v>
      </c>
      <c r="E186" s="59">
        <f>IFERROR(__xludf.DUMMYFUNCTION("""COMPUTED_VALUE"""),0.0)</f>
        <v>0</v>
      </c>
      <c r="F186" s="59">
        <f>IFERROR(__xludf.DUMMYFUNCTION("""COMPUTED_VALUE"""),1.0)</f>
        <v>1</v>
      </c>
      <c r="G186" s="59">
        <f>IFERROR(__xludf.DUMMYFUNCTION("""COMPUTED_VALUE"""),3.0)</f>
        <v>3</v>
      </c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>
      <c r="A187" s="84">
        <f>IFERROR(__xludf.DUMMYFUNCTION("""COMPUTED_VALUE"""),46089.0)</f>
        <v>46089</v>
      </c>
      <c r="B187" s="59" t="str">
        <f>IFERROR(__xludf.DUMMYFUNCTION("""COMPUTED_VALUE"""),"BLAISE99")</f>
        <v>BLAISE99</v>
      </c>
      <c r="C187" s="59" t="str">
        <f>IFERROR(__xludf.DUMMYFUNCTION("""COMPUTED_VALUE"""),"BALO K")</f>
        <v>BALO K</v>
      </c>
      <c r="D187" s="59">
        <f>IFERROR(__xludf.DUMMYFUNCTION("""COMPUTED_VALUE"""),0.0)</f>
        <v>0</v>
      </c>
      <c r="E187" s="59">
        <f>IFERROR(__xludf.DUMMYFUNCTION("""COMPUTED_VALUE"""),3.0)</f>
        <v>3</v>
      </c>
      <c r="F187" s="59">
        <f>IFERROR(__xludf.DUMMYFUNCTION("""COMPUTED_VALUE"""),0.0)</f>
        <v>0</v>
      </c>
      <c r="G187" s="59">
        <f>IFERROR(__xludf.DUMMYFUNCTION("""COMPUTED_VALUE"""),0.0)</f>
        <v>0</v>
      </c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>
      <c r="A188" s="84">
        <f>IFERROR(__xludf.DUMMYFUNCTION("""COMPUTED_VALUE"""),46089.0)</f>
        <v>46089</v>
      </c>
      <c r="B188" s="59" t="str">
        <f>IFERROR(__xludf.DUMMYFUNCTION("""COMPUTED_VALUE"""),"GAMEWITHJOSH")</f>
        <v>GAMEWITHJOSH</v>
      </c>
      <c r="C188" s="59" t="str">
        <f>IFERROR(__xludf.DUMMYFUNCTION("""COMPUTED_VALUE"""),"SIMPLYY UZO")</f>
        <v>SIMPLYY UZO</v>
      </c>
      <c r="D188" s="59">
        <f>IFERROR(__xludf.DUMMYFUNCTION("""COMPUTED_VALUE"""),5.0)</f>
        <v>5</v>
      </c>
      <c r="E188" s="59">
        <f>IFERROR(__xludf.DUMMYFUNCTION("""COMPUTED_VALUE"""),6.0)</f>
        <v>6</v>
      </c>
      <c r="F188" s="59">
        <f>IFERROR(__xludf.DUMMYFUNCTION("""COMPUTED_VALUE"""),0.0)</f>
        <v>0</v>
      </c>
      <c r="G188" s="59">
        <f>IFERROR(__xludf.DUMMYFUNCTION("""COMPUTED_VALUE"""),0.0)</f>
        <v>0</v>
      </c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>
      <c r="A189" s="84">
        <f>IFERROR(__xludf.DUMMYFUNCTION("""COMPUTED_VALUE"""),46089.0)</f>
        <v>46089</v>
      </c>
      <c r="B189" s="59" t="str">
        <f>IFERROR(__xludf.DUMMYFUNCTION("""COMPUTED_VALUE"""),"KAYKAY")</f>
        <v>KAYKAY</v>
      </c>
      <c r="C189" s="59" t="str">
        <f>IFERROR(__xludf.DUMMYFUNCTION("""COMPUTED_VALUE"""),"RHYMEZ")</f>
        <v>RHYMEZ</v>
      </c>
      <c r="D189" s="59">
        <f>IFERROR(__xludf.DUMMYFUNCTION("""COMPUTED_VALUE"""),7.0)</f>
        <v>7</v>
      </c>
      <c r="E189" s="59">
        <f>IFERROR(__xludf.DUMMYFUNCTION("""COMPUTED_VALUE"""),2.0)</f>
        <v>2</v>
      </c>
      <c r="F189" s="59">
        <f>IFERROR(__xludf.DUMMYFUNCTION("""COMPUTED_VALUE"""),1.0)</f>
        <v>1</v>
      </c>
      <c r="G189" s="59">
        <f>IFERROR(__xludf.DUMMYFUNCTION("""COMPUTED_VALUE"""),3.0)</f>
        <v>3</v>
      </c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>
      <c r="A190" s="84">
        <f>IFERROR(__xludf.DUMMYFUNCTION("""COMPUTED_VALUE"""),46089.0)</f>
        <v>46089</v>
      </c>
      <c r="B190" s="59" t="str">
        <f>IFERROR(__xludf.DUMMYFUNCTION("""COMPUTED_VALUE"""),"KINGNONEX")</f>
        <v>KINGNONEX</v>
      </c>
      <c r="C190" s="59" t="str">
        <f>IFERROR(__xludf.DUMMYFUNCTION("""COMPUTED_VALUE"""),"YEMOLEE")</f>
        <v>YEMOLEE</v>
      </c>
      <c r="D190" s="59">
        <f>IFERROR(__xludf.DUMMYFUNCTION("""COMPUTED_VALUE"""),4.0)</f>
        <v>4</v>
      </c>
      <c r="E190" s="59">
        <f>IFERROR(__xludf.DUMMYFUNCTION("""COMPUTED_VALUE"""),1.0)</f>
        <v>1</v>
      </c>
      <c r="F190" s="59">
        <f>IFERROR(__xludf.DUMMYFUNCTION("""COMPUTED_VALUE"""),1.0)</f>
        <v>1</v>
      </c>
      <c r="G190" s="59">
        <f>IFERROR(__xludf.DUMMYFUNCTION("""COMPUTED_VALUE"""),3.0)</f>
        <v>3</v>
      </c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>
      <c r="A191" s="84">
        <f>IFERROR(__xludf.DUMMYFUNCTION("""COMPUTED_VALUE"""),46039.0)</f>
        <v>46039</v>
      </c>
      <c r="B191" s="59" t="str">
        <f>IFERROR(__xludf.DUMMYFUNCTION("""COMPUTED_VALUE"""),"MR OGA")</f>
        <v>MR OGA</v>
      </c>
      <c r="C191" s="59" t="str">
        <f>IFERROR(__xludf.DUMMYFUNCTION("""COMPUTED_VALUE"""),"ANIFE")</f>
        <v>ANIFE</v>
      </c>
      <c r="D191" s="59">
        <f>IFERROR(__xludf.DUMMYFUNCTION("""COMPUTED_VALUE"""),7.0)</f>
        <v>7</v>
      </c>
      <c r="E191" s="59">
        <f>IFERROR(__xludf.DUMMYFUNCTION("""COMPUTED_VALUE"""),7.0)</f>
        <v>7</v>
      </c>
      <c r="F191" s="59">
        <f>IFERROR(__xludf.DUMMYFUNCTION("""COMPUTED_VALUE"""),0.0)</f>
        <v>0</v>
      </c>
      <c r="G191" s="59">
        <f>IFERROR(__xludf.DUMMYFUNCTION("""COMPUTED_VALUE"""),1.0)</f>
        <v>1</v>
      </c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>
      <c r="A192" s="84">
        <f>IFERROR(__xludf.DUMMYFUNCTION("""COMPUTED_VALUE"""),46039.0)</f>
        <v>46039</v>
      </c>
      <c r="B192" s="59" t="str">
        <f>IFERROR(__xludf.DUMMYFUNCTION("""COMPUTED_VALUE"""),"SIMPLYY UZO")</f>
        <v>SIMPLYY UZO</v>
      </c>
      <c r="C192" s="59" t="str">
        <f>IFERROR(__xludf.DUMMYFUNCTION("""COMPUTED_VALUE"""),"RHYMEZ")</f>
        <v>RHYMEZ</v>
      </c>
      <c r="D192" s="59">
        <f>IFERROR(__xludf.DUMMYFUNCTION("""COMPUTED_VALUE"""),2.0)</f>
        <v>2</v>
      </c>
      <c r="E192" s="59">
        <f>IFERROR(__xludf.DUMMYFUNCTION("""COMPUTED_VALUE"""),8.0)</f>
        <v>8</v>
      </c>
      <c r="F192" s="59">
        <f>IFERROR(__xludf.DUMMYFUNCTION("""COMPUTED_VALUE"""),0.0)</f>
        <v>0</v>
      </c>
      <c r="G192" s="59">
        <f>IFERROR(__xludf.DUMMYFUNCTION("""COMPUTED_VALUE"""),0.0)</f>
        <v>0</v>
      </c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>
      <c r="A193" s="84">
        <f>IFERROR(__xludf.DUMMYFUNCTION("""COMPUTED_VALUE"""),46039.0)</f>
        <v>46039</v>
      </c>
      <c r="B193" s="59" t="str">
        <f>IFERROR(__xludf.DUMMYFUNCTION("""COMPUTED_VALUE"""),"BAJI SNR")</f>
        <v>BAJI SNR</v>
      </c>
      <c r="C193" s="59" t="str">
        <f>IFERROR(__xludf.DUMMYFUNCTION("""COMPUTED_VALUE"""),"GURU")</f>
        <v>GURU</v>
      </c>
      <c r="D193" s="59">
        <f>IFERROR(__xludf.DUMMYFUNCTION("""COMPUTED_VALUE"""),5.0)</f>
        <v>5</v>
      </c>
      <c r="E193" s="59">
        <f>IFERROR(__xludf.DUMMYFUNCTION("""COMPUTED_VALUE"""),3.0)</f>
        <v>3</v>
      </c>
      <c r="F193" s="59">
        <f>IFERROR(__xludf.DUMMYFUNCTION("""COMPUTED_VALUE"""),1.0)</f>
        <v>1</v>
      </c>
      <c r="G193" s="59">
        <f>IFERROR(__xludf.DUMMYFUNCTION("""COMPUTED_VALUE"""),3.0)</f>
        <v>3</v>
      </c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>
      <c r="A194" s="84">
        <f>IFERROR(__xludf.DUMMYFUNCTION("""COMPUTED_VALUE"""),46039.0)</f>
        <v>46039</v>
      </c>
      <c r="B194" s="59" t="str">
        <f>IFERROR(__xludf.DUMMYFUNCTION("""COMPUTED_VALUE"""),"BLAISE99")</f>
        <v>BLAISE99</v>
      </c>
      <c r="C194" s="59" t="str">
        <f>IFERROR(__xludf.DUMMYFUNCTION("""COMPUTED_VALUE"""),"GAMEWITHJOSH")</f>
        <v>GAMEWITHJOSH</v>
      </c>
      <c r="D194" s="59">
        <f>IFERROR(__xludf.DUMMYFUNCTION("""COMPUTED_VALUE"""),10.0)</f>
        <v>10</v>
      </c>
      <c r="E194" s="59">
        <f>IFERROR(__xludf.DUMMYFUNCTION("""COMPUTED_VALUE"""),2.0)</f>
        <v>2</v>
      </c>
      <c r="F194" s="59">
        <f>IFERROR(__xludf.DUMMYFUNCTION("""COMPUTED_VALUE"""),1.0)</f>
        <v>1</v>
      </c>
      <c r="G194" s="59">
        <f>IFERROR(__xludf.DUMMYFUNCTION("""COMPUTED_VALUE"""),3.0)</f>
        <v>3</v>
      </c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>
      <c r="A195" s="84">
        <f>IFERROR(__xludf.DUMMYFUNCTION("""COMPUTED_VALUE"""),46039.0)</f>
        <v>46039</v>
      </c>
      <c r="B195" s="59" t="str">
        <f>IFERROR(__xludf.DUMMYFUNCTION("""COMPUTED_VALUE"""),"KAYKAY")</f>
        <v>KAYKAY</v>
      </c>
      <c r="C195" s="59" t="str">
        <f>IFERROR(__xludf.DUMMYFUNCTION("""COMPUTED_VALUE"""),"TACTICAL")</f>
        <v>TACTICAL</v>
      </c>
      <c r="D195" s="59">
        <f>IFERROR(__xludf.DUMMYFUNCTION("""COMPUTED_VALUE"""),7.0)</f>
        <v>7</v>
      </c>
      <c r="E195" s="59">
        <f>IFERROR(__xludf.DUMMYFUNCTION("""COMPUTED_VALUE"""),3.0)</f>
        <v>3</v>
      </c>
      <c r="F195" s="59">
        <f>IFERROR(__xludf.DUMMYFUNCTION("""COMPUTED_VALUE"""),1.0)</f>
        <v>1</v>
      </c>
      <c r="G195" s="59">
        <f>IFERROR(__xludf.DUMMYFUNCTION("""COMPUTED_VALUE"""),3.0)</f>
        <v>3</v>
      </c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>
      <c r="A196" s="84">
        <f>IFERROR(__xludf.DUMMYFUNCTION("""COMPUTED_VALUE"""),46039.0)</f>
        <v>46039</v>
      </c>
      <c r="B196" s="59" t="str">
        <f>IFERROR(__xludf.DUMMYFUNCTION("""COMPUTED_VALUE"""),"DADABOI")</f>
        <v>DADABOI</v>
      </c>
      <c r="C196" s="59" t="str">
        <f>IFERROR(__xludf.DUMMYFUNCTION("""COMPUTED_VALUE"""),"SON OF GOD")</f>
        <v>SON OF GOD</v>
      </c>
      <c r="D196" s="59">
        <f>IFERROR(__xludf.DUMMYFUNCTION("""COMPUTED_VALUE"""),0.0)</f>
        <v>0</v>
      </c>
      <c r="E196" s="59">
        <f>IFERROR(__xludf.DUMMYFUNCTION("""COMPUTED_VALUE"""),7.0)</f>
        <v>7</v>
      </c>
      <c r="F196" s="59">
        <f>IFERROR(__xludf.DUMMYFUNCTION("""COMPUTED_VALUE"""),0.0)</f>
        <v>0</v>
      </c>
      <c r="G196" s="59">
        <f>IFERROR(__xludf.DUMMYFUNCTION("""COMPUTED_VALUE"""),0.0)</f>
        <v>0</v>
      </c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>
      <c r="A197" s="84">
        <f>IFERROR(__xludf.DUMMYFUNCTION("""COMPUTED_VALUE"""),46039.0)</f>
        <v>46039</v>
      </c>
      <c r="B197" s="59" t="str">
        <f>IFERROR(__xludf.DUMMYFUNCTION("""COMPUTED_VALUE"""),"WOLEVATION")</f>
        <v>WOLEVATION</v>
      </c>
      <c r="C197" s="59" t="str">
        <f>IFERROR(__xludf.DUMMYFUNCTION("""COMPUTED_VALUE"""),"KHALEEDOY")</f>
        <v>KHALEEDOY</v>
      </c>
      <c r="D197" s="59">
        <f>IFERROR(__xludf.DUMMYFUNCTION("""COMPUTED_VALUE"""),3.0)</f>
        <v>3</v>
      </c>
      <c r="E197" s="59">
        <f>IFERROR(__xludf.DUMMYFUNCTION("""COMPUTED_VALUE"""),0.0)</f>
        <v>0</v>
      </c>
      <c r="F197" s="59">
        <f>IFERROR(__xludf.DUMMYFUNCTION("""COMPUTED_VALUE"""),1.0)</f>
        <v>1</v>
      </c>
      <c r="G197" s="59">
        <f>IFERROR(__xludf.DUMMYFUNCTION("""COMPUTED_VALUE"""),3.0)</f>
        <v>3</v>
      </c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>
      <c r="A198" s="84">
        <f>IFERROR(__xludf.DUMMYFUNCTION("""COMPUTED_VALUE"""),46039.0)</f>
        <v>46039</v>
      </c>
      <c r="B198" s="59" t="str">
        <f>IFERROR(__xludf.DUMMYFUNCTION("""COMPUTED_VALUE"""),"DRACARYS")</f>
        <v>DRACARYS</v>
      </c>
      <c r="C198" s="59" t="str">
        <f>IFERROR(__xludf.DUMMYFUNCTION("""COMPUTED_VALUE"""),"FLICK")</f>
        <v>FLICK</v>
      </c>
      <c r="D198" s="59">
        <f>IFERROR(__xludf.DUMMYFUNCTION("""COMPUTED_VALUE"""),5.0)</f>
        <v>5</v>
      </c>
      <c r="E198" s="59">
        <f>IFERROR(__xludf.DUMMYFUNCTION("""COMPUTED_VALUE"""),5.0)</f>
        <v>5</v>
      </c>
      <c r="F198" s="59">
        <f>IFERROR(__xludf.DUMMYFUNCTION("""COMPUTED_VALUE"""),0.0)</f>
        <v>0</v>
      </c>
      <c r="G198" s="59">
        <f>IFERROR(__xludf.DUMMYFUNCTION("""COMPUTED_VALUE"""),1.0)</f>
        <v>1</v>
      </c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>
      <c r="A199" s="84">
        <f>IFERROR(__xludf.DUMMYFUNCTION("""COMPUTED_VALUE"""),46039.0)</f>
        <v>46039</v>
      </c>
      <c r="B199" s="59" t="str">
        <f>IFERROR(__xludf.DUMMYFUNCTION("""COMPUTED_VALUE"""),"BRIGHT")</f>
        <v>BRIGHT</v>
      </c>
      <c r="C199" s="59" t="str">
        <f>IFERROR(__xludf.DUMMYFUNCTION("""COMPUTED_VALUE"""),"KINGNONEX")</f>
        <v>KINGNONEX</v>
      </c>
      <c r="D199" s="59">
        <f>IFERROR(__xludf.DUMMYFUNCTION("""COMPUTED_VALUE"""),1.0)</f>
        <v>1</v>
      </c>
      <c r="E199" s="59">
        <f>IFERROR(__xludf.DUMMYFUNCTION("""COMPUTED_VALUE"""),5.0)</f>
        <v>5</v>
      </c>
      <c r="F199" s="59">
        <f>IFERROR(__xludf.DUMMYFUNCTION("""COMPUTED_VALUE"""),0.0)</f>
        <v>0</v>
      </c>
      <c r="G199" s="59">
        <f>IFERROR(__xludf.DUMMYFUNCTION("""COMPUTED_VALUE"""),0.0)</f>
        <v>0</v>
      </c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>
      <c r="A200" s="84">
        <f>IFERROR(__xludf.DUMMYFUNCTION("""COMPUTED_VALUE"""),46039.0)</f>
        <v>46039</v>
      </c>
      <c r="B200" s="59" t="str">
        <f>IFERROR(__xludf.DUMMYFUNCTION("""COMPUTED_VALUE"""),"YEMOLEE")</f>
        <v>YEMOLEE</v>
      </c>
      <c r="C200" s="59" t="str">
        <f>IFERROR(__xludf.DUMMYFUNCTION("""COMPUTED_VALUE"""),"BALO K")</f>
        <v>BALO K</v>
      </c>
      <c r="D200" s="59">
        <f>IFERROR(__xludf.DUMMYFUNCTION("""COMPUTED_VALUE"""),5.0)</f>
        <v>5</v>
      </c>
      <c r="E200" s="59">
        <f>IFERROR(__xludf.DUMMYFUNCTION("""COMPUTED_VALUE"""),3.0)</f>
        <v>3</v>
      </c>
      <c r="F200" s="59">
        <f>IFERROR(__xludf.DUMMYFUNCTION("""COMPUTED_VALUE"""),1.0)</f>
        <v>1</v>
      </c>
      <c r="G200" s="59">
        <f>IFERROR(__xludf.DUMMYFUNCTION("""COMPUTED_VALUE"""),3.0)</f>
        <v>3</v>
      </c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>
      <c r="A201" s="84">
        <f>IFERROR(__xludf.DUMMYFUNCTION("""COMPUTED_VALUE"""),46040.0)</f>
        <v>46040</v>
      </c>
      <c r="B201" s="59" t="str">
        <f>IFERROR(__xludf.DUMMYFUNCTION("""COMPUTED_VALUE"""),"YEMOLEE")</f>
        <v>YEMOLEE</v>
      </c>
      <c r="C201" s="59" t="str">
        <f>IFERROR(__xludf.DUMMYFUNCTION("""COMPUTED_VALUE"""),"BRIGHT")</f>
        <v>BRIGHT</v>
      </c>
      <c r="D201" s="59">
        <f>IFERROR(__xludf.DUMMYFUNCTION("""COMPUTED_VALUE"""),2.0)</f>
        <v>2</v>
      </c>
      <c r="E201" s="59">
        <f>IFERROR(__xludf.DUMMYFUNCTION("""COMPUTED_VALUE"""),2.0)</f>
        <v>2</v>
      </c>
      <c r="F201" s="59">
        <f>IFERROR(__xludf.DUMMYFUNCTION("""COMPUTED_VALUE"""),0.0)</f>
        <v>0</v>
      </c>
      <c r="G201" s="59">
        <f>IFERROR(__xludf.DUMMYFUNCTION("""COMPUTED_VALUE"""),1.0)</f>
        <v>1</v>
      </c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>
      <c r="A202" s="84">
        <f>IFERROR(__xludf.DUMMYFUNCTION("""COMPUTED_VALUE"""),46040.0)</f>
        <v>46040</v>
      </c>
      <c r="B202" s="59" t="str">
        <f>IFERROR(__xludf.DUMMYFUNCTION("""COMPUTED_VALUE"""),"TACTICAL")</f>
        <v>TACTICAL</v>
      </c>
      <c r="C202" s="59" t="str">
        <f>IFERROR(__xludf.DUMMYFUNCTION("""COMPUTED_VALUE"""),"RHYMEZ")</f>
        <v>RHYMEZ</v>
      </c>
      <c r="D202" s="59">
        <f>IFERROR(__xludf.DUMMYFUNCTION("""COMPUTED_VALUE"""),3.0)</f>
        <v>3</v>
      </c>
      <c r="E202" s="59">
        <f>IFERROR(__xludf.DUMMYFUNCTION("""COMPUTED_VALUE"""),4.0)</f>
        <v>4</v>
      </c>
      <c r="F202" s="59">
        <f>IFERROR(__xludf.DUMMYFUNCTION("""COMPUTED_VALUE"""),0.0)</f>
        <v>0</v>
      </c>
      <c r="G202" s="59">
        <f>IFERROR(__xludf.DUMMYFUNCTION("""COMPUTED_VALUE"""),0.0)</f>
        <v>0</v>
      </c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>
      <c r="A203" s="84">
        <f>IFERROR(__xludf.DUMMYFUNCTION("""COMPUTED_VALUE"""),46040.0)</f>
        <v>46040</v>
      </c>
      <c r="B203" s="59" t="str">
        <f>IFERROR(__xludf.DUMMYFUNCTION("""COMPUTED_VALUE"""),"MR OGA")</f>
        <v>MR OGA</v>
      </c>
      <c r="C203" s="59" t="str">
        <f>IFERROR(__xludf.DUMMYFUNCTION("""COMPUTED_VALUE"""),"BALO K")</f>
        <v>BALO K</v>
      </c>
      <c r="D203" s="59">
        <f>IFERROR(__xludf.DUMMYFUNCTION("""COMPUTED_VALUE"""),0.0)</f>
        <v>0</v>
      </c>
      <c r="E203" s="59">
        <f>IFERROR(__xludf.DUMMYFUNCTION("""COMPUTED_VALUE"""),3.0)</f>
        <v>3</v>
      </c>
      <c r="F203" s="59">
        <f>IFERROR(__xludf.DUMMYFUNCTION("""COMPUTED_VALUE"""),0.0)</f>
        <v>0</v>
      </c>
      <c r="G203" s="59">
        <f>IFERROR(__xludf.DUMMYFUNCTION("""COMPUTED_VALUE"""),0.0)</f>
        <v>0</v>
      </c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>
      <c r="A204" s="84">
        <f>IFERROR(__xludf.DUMMYFUNCTION("""COMPUTED_VALUE"""),46040.0)</f>
        <v>46040</v>
      </c>
      <c r="B204" s="59" t="str">
        <f>IFERROR(__xludf.DUMMYFUNCTION("""COMPUTED_VALUE"""),"KINGNONEX")</f>
        <v>KINGNONEX</v>
      </c>
      <c r="C204" s="59" t="str">
        <f>IFERROR(__xludf.DUMMYFUNCTION("""COMPUTED_VALUE"""),"DADABOI")</f>
        <v>DADABOI</v>
      </c>
      <c r="D204" s="59">
        <f>IFERROR(__xludf.DUMMYFUNCTION("""COMPUTED_VALUE"""),10.0)</f>
        <v>10</v>
      </c>
      <c r="E204" s="59">
        <f>IFERROR(__xludf.DUMMYFUNCTION("""COMPUTED_VALUE"""),0.0)</f>
        <v>0</v>
      </c>
      <c r="F204" s="59">
        <f>IFERROR(__xludf.DUMMYFUNCTION("""COMPUTED_VALUE"""),1.0)</f>
        <v>1</v>
      </c>
      <c r="G204" s="59">
        <f>IFERROR(__xludf.DUMMYFUNCTION("""COMPUTED_VALUE"""),3.0)</f>
        <v>3</v>
      </c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>
      <c r="A205" s="84">
        <f>IFERROR(__xludf.DUMMYFUNCTION("""COMPUTED_VALUE"""),46040.0)</f>
        <v>46040</v>
      </c>
      <c r="B205" s="59" t="str">
        <f>IFERROR(__xludf.DUMMYFUNCTION("""COMPUTED_VALUE"""),"ANIFE")</f>
        <v>ANIFE</v>
      </c>
      <c r="C205" s="59" t="str">
        <f>IFERROR(__xludf.DUMMYFUNCTION("""COMPUTED_VALUE"""),"GURU")</f>
        <v>GURU</v>
      </c>
      <c r="D205" s="59">
        <f>IFERROR(__xludf.DUMMYFUNCTION("""COMPUTED_VALUE"""),4.0)</f>
        <v>4</v>
      </c>
      <c r="E205" s="59">
        <f>IFERROR(__xludf.DUMMYFUNCTION("""COMPUTED_VALUE"""),6.0)</f>
        <v>6</v>
      </c>
      <c r="F205" s="59">
        <f>IFERROR(__xludf.DUMMYFUNCTION("""COMPUTED_VALUE"""),0.0)</f>
        <v>0</v>
      </c>
      <c r="G205" s="59">
        <f>IFERROR(__xludf.DUMMYFUNCTION("""COMPUTED_VALUE"""),0.0)</f>
        <v>0</v>
      </c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>
      <c r="A206" s="84">
        <f>IFERROR(__xludf.DUMMYFUNCTION("""COMPUTED_VALUE"""),46040.0)</f>
        <v>46040</v>
      </c>
      <c r="B206" s="59" t="str">
        <f>IFERROR(__xludf.DUMMYFUNCTION("""COMPUTED_VALUE"""),"BLAISE99")</f>
        <v>BLAISE99</v>
      </c>
      <c r="C206" s="59" t="str">
        <f>IFERROR(__xludf.DUMMYFUNCTION("""COMPUTED_VALUE"""),"WOLEVATION")</f>
        <v>WOLEVATION</v>
      </c>
      <c r="D206" s="59">
        <f>IFERROR(__xludf.DUMMYFUNCTION("""COMPUTED_VALUE"""),4.0)</f>
        <v>4</v>
      </c>
      <c r="E206" s="59">
        <f>IFERROR(__xludf.DUMMYFUNCTION("""COMPUTED_VALUE"""),6.0)</f>
        <v>6</v>
      </c>
      <c r="F206" s="59">
        <f>IFERROR(__xludf.DUMMYFUNCTION("""COMPUTED_VALUE"""),0.0)</f>
        <v>0</v>
      </c>
      <c r="G206" s="59">
        <f>IFERROR(__xludf.DUMMYFUNCTION("""COMPUTED_VALUE"""),0.0)</f>
        <v>0</v>
      </c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>
      <c r="A207" s="84">
        <f>IFERROR(__xludf.DUMMYFUNCTION("""COMPUTED_VALUE"""),46040.0)</f>
        <v>46040</v>
      </c>
      <c r="B207" s="59" t="str">
        <f>IFERROR(__xludf.DUMMYFUNCTION("""COMPUTED_VALUE"""),"SON OF GOD")</f>
        <v>SON OF GOD</v>
      </c>
      <c r="C207" s="59" t="str">
        <f>IFERROR(__xludf.DUMMYFUNCTION("""COMPUTED_VALUE"""),"FLICK")</f>
        <v>FLICK</v>
      </c>
      <c r="D207" s="59">
        <f>IFERROR(__xludf.DUMMYFUNCTION("""COMPUTED_VALUE"""),6.0)</f>
        <v>6</v>
      </c>
      <c r="E207" s="59">
        <f>IFERROR(__xludf.DUMMYFUNCTION("""COMPUTED_VALUE"""),0.0)</f>
        <v>0</v>
      </c>
      <c r="F207" s="59">
        <f>IFERROR(__xludf.DUMMYFUNCTION("""COMPUTED_VALUE"""),1.0)</f>
        <v>1</v>
      </c>
      <c r="G207" s="59">
        <f>IFERROR(__xludf.DUMMYFUNCTION("""COMPUTED_VALUE"""),3.0)</f>
        <v>3</v>
      </c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>
      <c r="A208" s="84">
        <f>IFERROR(__xludf.DUMMYFUNCTION("""COMPUTED_VALUE"""),46040.0)</f>
        <v>46040</v>
      </c>
      <c r="B208" s="59" t="str">
        <f>IFERROR(__xludf.DUMMYFUNCTION("""COMPUTED_VALUE"""),"BALO K")</f>
        <v>BALO K</v>
      </c>
      <c r="C208" s="59" t="str">
        <f>IFERROR(__xludf.DUMMYFUNCTION("""COMPUTED_VALUE"""),"GAMEWITHJOSH")</f>
        <v>GAMEWITHJOSH</v>
      </c>
      <c r="D208" s="59">
        <f>IFERROR(__xludf.DUMMYFUNCTION("""COMPUTED_VALUE"""),5.0)</f>
        <v>5</v>
      </c>
      <c r="E208" s="59">
        <f>IFERROR(__xludf.DUMMYFUNCTION("""COMPUTED_VALUE"""),7.0)</f>
        <v>7</v>
      </c>
      <c r="F208" s="59">
        <f>IFERROR(__xludf.DUMMYFUNCTION("""COMPUTED_VALUE"""),0.0)</f>
        <v>0</v>
      </c>
      <c r="G208" s="59">
        <f>IFERROR(__xludf.DUMMYFUNCTION("""COMPUTED_VALUE"""),0.0)</f>
        <v>0</v>
      </c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>
      <c r="A209" s="84">
        <f>IFERROR(__xludf.DUMMYFUNCTION("""COMPUTED_VALUE"""),46040.0)</f>
        <v>46040</v>
      </c>
      <c r="B209" s="59" t="str">
        <f>IFERROR(__xludf.DUMMYFUNCTION("""COMPUTED_VALUE"""),"BAJI SNR")</f>
        <v>BAJI SNR</v>
      </c>
      <c r="C209" s="59" t="str">
        <f>IFERROR(__xludf.DUMMYFUNCTION("""COMPUTED_VALUE"""),"YEMOLEE")</f>
        <v>YEMOLEE</v>
      </c>
      <c r="D209" s="59">
        <f>IFERROR(__xludf.DUMMYFUNCTION("""COMPUTED_VALUE"""),1.0)</f>
        <v>1</v>
      </c>
      <c r="E209" s="59">
        <f>IFERROR(__xludf.DUMMYFUNCTION("""COMPUTED_VALUE"""),6.0)</f>
        <v>6</v>
      </c>
      <c r="F209" s="59">
        <f>IFERROR(__xludf.DUMMYFUNCTION("""COMPUTED_VALUE"""),0.0)</f>
        <v>0</v>
      </c>
      <c r="G209" s="59">
        <f>IFERROR(__xludf.DUMMYFUNCTION("""COMPUTED_VALUE"""),0.0)</f>
        <v>0</v>
      </c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>
      <c r="A210" s="84">
        <f>IFERROR(__xludf.DUMMYFUNCTION("""COMPUTED_VALUE"""),46040.0)</f>
        <v>46040</v>
      </c>
      <c r="B210" s="59" t="str">
        <f>IFERROR(__xludf.DUMMYFUNCTION("""COMPUTED_VALUE"""),"DRACARYS")</f>
        <v>DRACARYS</v>
      </c>
      <c r="C210" s="59" t="str">
        <f>IFERROR(__xludf.DUMMYFUNCTION("""COMPUTED_VALUE"""),"BRIGHT")</f>
        <v>BRIGHT</v>
      </c>
      <c r="D210" s="59">
        <f>IFERROR(__xludf.DUMMYFUNCTION("""COMPUTED_VALUE"""),7.0)</f>
        <v>7</v>
      </c>
      <c r="E210" s="59">
        <f>IFERROR(__xludf.DUMMYFUNCTION("""COMPUTED_VALUE"""),4.0)</f>
        <v>4</v>
      </c>
      <c r="F210" s="59">
        <f>IFERROR(__xludf.DUMMYFUNCTION("""COMPUTED_VALUE"""),1.0)</f>
        <v>1</v>
      </c>
      <c r="G210" s="59">
        <f>IFERROR(__xludf.DUMMYFUNCTION("""COMPUTED_VALUE"""),3.0)</f>
        <v>3</v>
      </c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>
      <c r="A211" s="84">
        <f>IFERROR(__xludf.DUMMYFUNCTION("""COMPUTED_VALUE"""),46040.0)</f>
        <v>46040</v>
      </c>
      <c r="B211" s="59" t="str">
        <f>IFERROR(__xludf.DUMMYFUNCTION("""COMPUTED_VALUE"""),"WOLEVATION")</f>
        <v>WOLEVATION</v>
      </c>
      <c r="C211" s="59" t="str">
        <f>IFERROR(__xludf.DUMMYFUNCTION("""COMPUTED_VALUE"""),"TACTICAL")</f>
        <v>TACTICAL</v>
      </c>
      <c r="D211" s="59">
        <f>IFERROR(__xludf.DUMMYFUNCTION("""COMPUTED_VALUE"""),7.0)</f>
        <v>7</v>
      </c>
      <c r="E211" s="59">
        <f>IFERROR(__xludf.DUMMYFUNCTION("""COMPUTED_VALUE"""),3.0)</f>
        <v>3</v>
      </c>
      <c r="F211" s="59">
        <f>IFERROR(__xludf.DUMMYFUNCTION("""COMPUTED_VALUE"""),1.0)</f>
        <v>1</v>
      </c>
      <c r="G211" s="59">
        <f>IFERROR(__xludf.DUMMYFUNCTION("""COMPUTED_VALUE"""),3.0)</f>
        <v>3</v>
      </c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>
      <c r="A212" s="84">
        <f>IFERROR(__xludf.DUMMYFUNCTION("""COMPUTED_VALUE"""),46040.0)</f>
        <v>46040</v>
      </c>
      <c r="B212" s="59" t="str">
        <f>IFERROR(__xludf.DUMMYFUNCTION("""COMPUTED_VALUE"""),"KINGNONEX")</f>
        <v>KINGNONEX</v>
      </c>
      <c r="C212" s="59" t="str">
        <f>IFERROR(__xludf.DUMMYFUNCTION("""COMPUTED_VALUE"""),"SIMPLYY UZO")</f>
        <v>SIMPLYY UZO</v>
      </c>
      <c r="D212" s="59">
        <f>IFERROR(__xludf.DUMMYFUNCTION("""COMPUTED_VALUE"""),6.0)</f>
        <v>6</v>
      </c>
      <c r="E212" s="59">
        <f>IFERROR(__xludf.DUMMYFUNCTION("""COMPUTED_VALUE"""),1.0)</f>
        <v>1</v>
      </c>
      <c r="F212" s="59">
        <f>IFERROR(__xludf.DUMMYFUNCTION("""COMPUTED_VALUE"""),1.0)</f>
        <v>1</v>
      </c>
      <c r="G212" s="59">
        <f>IFERROR(__xludf.DUMMYFUNCTION("""COMPUTED_VALUE"""),3.0)</f>
        <v>3</v>
      </c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>
      <c r="A213" s="84">
        <f>IFERROR(__xludf.DUMMYFUNCTION("""COMPUTED_VALUE"""),46040.0)</f>
        <v>46040</v>
      </c>
      <c r="B213" s="59" t="str">
        <f>IFERROR(__xludf.DUMMYFUNCTION("""COMPUTED_VALUE"""),"DRACARYS")</f>
        <v>DRACARYS</v>
      </c>
      <c r="C213" s="59" t="str">
        <f>IFERROR(__xludf.DUMMYFUNCTION("""COMPUTED_VALUE"""),"KAYKAY")</f>
        <v>KAYKAY</v>
      </c>
      <c r="D213" s="59">
        <f>IFERROR(__xludf.DUMMYFUNCTION("""COMPUTED_VALUE"""),4.0)</f>
        <v>4</v>
      </c>
      <c r="E213" s="59">
        <f>IFERROR(__xludf.DUMMYFUNCTION("""COMPUTED_VALUE"""),5.0)</f>
        <v>5</v>
      </c>
      <c r="F213" s="59">
        <f>IFERROR(__xludf.DUMMYFUNCTION("""COMPUTED_VALUE"""),0.0)</f>
        <v>0</v>
      </c>
      <c r="G213" s="59">
        <f>IFERROR(__xludf.DUMMYFUNCTION("""COMPUTED_VALUE"""),0.0)</f>
        <v>0</v>
      </c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>
      <c r="A214" s="84">
        <f>IFERROR(__xludf.DUMMYFUNCTION("""COMPUTED_VALUE"""),46040.0)</f>
        <v>46040</v>
      </c>
      <c r="B214" s="59" t="str">
        <f>IFERROR(__xludf.DUMMYFUNCTION("""COMPUTED_VALUE"""),"GURU")</f>
        <v>GURU</v>
      </c>
      <c r="C214" s="59" t="str">
        <f>IFERROR(__xludf.DUMMYFUNCTION("""COMPUTED_VALUE"""),"KHALEEDOY")</f>
        <v>KHALEEDOY</v>
      </c>
      <c r="D214" s="59">
        <f>IFERROR(__xludf.DUMMYFUNCTION("""COMPUTED_VALUE"""),5.0)</f>
        <v>5</v>
      </c>
      <c r="E214" s="59">
        <f>IFERROR(__xludf.DUMMYFUNCTION("""COMPUTED_VALUE"""),2.0)</f>
        <v>2</v>
      </c>
      <c r="F214" s="59">
        <f>IFERROR(__xludf.DUMMYFUNCTION("""COMPUTED_VALUE"""),1.0)</f>
        <v>1</v>
      </c>
      <c r="G214" s="59">
        <f>IFERROR(__xludf.DUMMYFUNCTION("""COMPUTED_VALUE"""),3.0)</f>
        <v>3</v>
      </c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>
      <c r="A215" s="84">
        <f>IFERROR(__xludf.DUMMYFUNCTION("""COMPUTED_VALUE"""),46046.0)</f>
        <v>46046</v>
      </c>
      <c r="B215" s="59" t="str">
        <f>IFERROR(__xludf.DUMMYFUNCTION("""COMPUTED_VALUE"""),"ANIFE")</f>
        <v>ANIFE</v>
      </c>
      <c r="C215" s="59" t="str">
        <f>IFERROR(__xludf.DUMMYFUNCTION("""COMPUTED_VALUE"""),"BAJI SNR")</f>
        <v>BAJI SNR</v>
      </c>
      <c r="D215" s="59">
        <f>IFERROR(__xludf.DUMMYFUNCTION("""COMPUTED_VALUE"""),5.0)</f>
        <v>5</v>
      </c>
      <c r="E215" s="59">
        <f>IFERROR(__xludf.DUMMYFUNCTION("""COMPUTED_VALUE"""),3.0)</f>
        <v>3</v>
      </c>
      <c r="F215" s="59">
        <f>IFERROR(__xludf.DUMMYFUNCTION("""COMPUTED_VALUE"""),1.0)</f>
        <v>1</v>
      </c>
      <c r="G215" s="59">
        <f>IFERROR(__xludf.DUMMYFUNCTION("""COMPUTED_VALUE"""),3.0)</f>
        <v>3</v>
      </c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>
      <c r="A216" s="84">
        <f>IFERROR(__xludf.DUMMYFUNCTION("""COMPUTED_VALUE"""),46046.0)</f>
        <v>46046</v>
      </c>
      <c r="B216" s="59" t="str">
        <f>IFERROR(__xludf.DUMMYFUNCTION("""COMPUTED_VALUE"""),"BLAISE99")</f>
        <v>BLAISE99</v>
      </c>
      <c r="C216" s="59" t="str">
        <f>IFERROR(__xludf.DUMMYFUNCTION("""COMPUTED_VALUE"""),"BRIGHT")</f>
        <v>BRIGHT</v>
      </c>
      <c r="D216" s="59">
        <f>IFERROR(__xludf.DUMMYFUNCTION("""COMPUTED_VALUE"""),4.0)</f>
        <v>4</v>
      </c>
      <c r="E216" s="59">
        <f>IFERROR(__xludf.DUMMYFUNCTION("""COMPUTED_VALUE"""),5.0)</f>
        <v>5</v>
      </c>
      <c r="F216" s="59">
        <f>IFERROR(__xludf.DUMMYFUNCTION("""COMPUTED_VALUE"""),0.0)</f>
        <v>0</v>
      </c>
      <c r="G216" s="59">
        <f>IFERROR(__xludf.DUMMYFUNCTION("""COMPUTED_VALUE"""),0.0)</f>
        <v>0</v>
      </c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>
      <c r="A217" s="84">
        <f>IFERROR(__xludf.DUMMYFUNCTION("""COMPUTED_VALUE"""),46046.0)</f>
        <v>46046</v>
      </c>
      <c r="B217" s="59" t="str">
        <f>IFERROR(__xludf.DUMMYFUNCTION("""COMPUTED_VALUE"""),"GAMEWITHJOSH")</f>
        <v>GAMEWITHJOSH</v>
      </c>
      <c r="C217" s="59" t="str">
        <f>IFERROR(__xludf.DUMMYFUNCTION("""COMPUTED_VALUE"""),"KAYKAY")</f>
        <v>KAYKAY</v>
      </c>
      <c r="D217" s="59">
        <f>IFERROR(__xludf.DUMMYFUNCTION("""COMPUTED_VALUE"""),7.0)</f>
        <v>7</v>
      </c>
      <c r="E217" s="59">
        <f>IFERROR(__xludf.DUMMYFUNCTION("""COMPUTED_VALUE"""),7.0)</f>
        <v>7</v>
      </c>
      <c r="F217" s="59">
        <f>IFERROR(__xludf.DUMMYFUNCTION("""COMPUTED_VALUE"""),0.0)</f>
        <v>0</v>
      </c>
      <c r="G217" s="59">
        <f>IFERROR(__xludf.DUMMYFUNCTION("""COMPUTED_VALUE"""),1.0)</f>
        <v>1</v>
      </c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>
      <c r="A218" s="84">
        <f>IFERROR(__xludf.DUMMYFUNCTION("""COMPUTED_VALUE"""),46046.0)</f>
        <v>46046</v>
      </c>
      <c r="B218" s="59" t="str">
        <f>IFERROR(__xludf.DUMMYFUNCTION("""COMPUTED_VALUE"""),"WOLEVATION")</f>
        <v>WOLEVATION</v>
      </c>
      <c r="C218" s="59" t="str">
        <f>IFERROR(__xludf.DUMMYFUNCTION("""COMPUTED_VALUE"""),"FLICK")</f>
        <v>FLICK</v>
      </c>
      <c r="D218" s="59">
        <f>IFERROR(__xludf.DUMMYFUNCTION("""COMPUTED_VALUE"""),4.0)</f>
        <v>4</v>
      </c>
      <c r="E218" s="59">
        <f>IFERROR(__xludf.DUMMYFUNCTION("""COMPUTED_VALUE"""),3.0)</f>
        <v>3</v>
      </c>
      <c r="F218" s="59">
        <f>IFERROR(__xludf.DUMMYFUNCTION("""COMPUTED_VALUE"""),1.0)</f>
        <v>1</v>
      </c>
      <c r="G218" s="59">
        <f>IFERROR(__xludf.DUMMYFUNCTION("""COMPUTED_VALUE"""),3.0)</f>
        <v>3</v>
      </c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>
      <c r="A219" s="84">
        <f>IFERROR(__xludf.DUMMYFUNCTION("""COMPUTED_VALUE"""),46046.0)</f>
        <v>46046</v>
      </c>
      <c r="B219" s="59" t="str">
        <f>IFERROR(__xludf.DUMMYFUNCTION("""COMPUTED_VALUE"""),"SIMPLYY UZO")</f>
        <v>SIMPLYY UZO</v>
      </c>
      <c r="C219" s="59" t="str">
        <f>IFERROR(__xludf.DUMMYFUNCTION("""COMPUTED_VALUE"""),"DADABOI")</f>
        <v>DADABOI</v>
      </c>
      <c r="D219" s="59">
        <f>IFERROR(__xludf.DUMMYFUNCTION("""COMPUTED_VALUE"""),4.0)</f>
        <v>4</v>
      </c>
      <c r="E219" s="59">
        <f>IFERROR(__xludf.DUMMYFUNCTION("""COMPUTED_VALUE"""),7.0)</f>
        <v>7</v>
      </c>
      <c r="F219" s="59">
        <f>IFERROR(__xludf.DUMMYFUNCTION("""COMPUTED_VALUE"""),0.0)</f>
        <v>0</v>
      </c>
      <c r="G219" s="59">
        <f>IFERROR(__xludf.DUMMYFUNCTION("""COMPUTED_VALUE"""),0.0)</f>
        <v>0</v>
      </c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>
      <c r="A220" s="84">
        <f>IFERROR(__xludf.DUMMYFUNCTION("""COMPUTED_VALUE"""),46046.0)</f>
        <v>46046</v>
      </c>
      <c r="B220" s="59" t="str">
        <f>IFERROR(__xludf.DUMMYFUNCTION("""COMPUTED_VALUE"""),"KHALEEDOY")</f>
        <v>KHALEEDOY</v>
      </c>
      <c r="C220" s="59" t="str">
        <f>IFERROR(__xludf.DUMMYFUNCTION("""COMPUTED_VALUE"""),"KINGNONEX")</f>
        <v>KINGNONEX</v>
      </c>
      <c r="D220" s="59">
        <f>IFERROR(__xludf.DUMMYFUNCTION("""COMPUTED_VALUE"""),1.0)</f>
        <v>1</v>
      </c>
      <c r="E220" s="59">
        <f>IFERROR(__xludf.DUMMYFUNCTION("""COMPUTED_VALUE"""),2.0)</f>
        <v>2</v>
      </c>
      <c r="F220" s="59">
        <f>IFERROR(__xludf.DUMMYFUNCTION("""COMPUTED_VALUE"""),0.0)</f>
        <v>0</v>
      </c>
      <c r="G220" s="59">
        <f>IFERROR(__xludf.DUMMYFUNCTION("""COMPUTED_VALUE"""),0.0)</f>
        <v>0</v>
      </c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>
      <c r="A221" s="84">
        <f>IFERROR(__xludf.DUMMYFUNCTION("""COMPUTED_VALUE"""),46046.0)</f>
        <v>46046</v>
      </c>
      <c r="B221" s="59" t="str">
        <f>IFERROR(__xludf.DUMMYFUNCTION("""COMPUTED_VALUE"""),"YEMOLEE")</f>
        <v>YEMOLEE</v>
      </c>
      <c r="C221" s="59" t="str">
        <f>IFERROR(__xludf.DUMMYFUNCTION("""COMPUTED_VALUE"""),"DRACARYS")</f>
        <v>DRACARYS</v>
      </c>
      <c r="D221" s="59">
        <f>IFERROR(__xludf.DUMMYFUNCTION("""COMPUTED_VALUE"""),3.0)</f>
        <v>3</v>
      </c>
      <c r="E221" s="59">
        <f>IFERROR(__xludf.DUMMYFUNCTION("""COMPUTED_VALUE"""),3.0)</f>
        <v>3</v>
      </c>
      <c r="F221" s="59">
        <f>IFERROR(__xludf.DUMMYFUNCTION("""COMPUTED_VALUE"""),0.0)</f>
        <v>0</v>
      </c>
      <c r="G221" s="59">
        <f>IFERROR(__xludf.DUMMYFUNCTION("""COMPUTED_VALUE"""),1.0)</f>
        <v>1</v>
      </c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>
      <c r="A222" s="84">
        <f>IFERROR(__xludf.DUMMYFUNCTION("""COMPUTED_VALUE"""),46046.0)</f>
        <v>46046</v>
      </c>
      <c r="B222" s="59" t="str">
        <f>IFERROR(__xludf.DUMMYFUNCTION("""COMPUTED_VALUE"""),"GURU")</f>
        <v>GURU</v>
      </c>
      <c r="C222" s="59" t="str">
        <f>IFERROR(__xludf.DUMMYFUNCTION("""COMPUTED_VALUE"""),"SON OF GOD")</f>
        <v>SON OF GOD</v>
      </c>
      <c r="D222" s="59">
        <f>IFERROR(__xludf.DUMMYFUNCTION("""COMPUTED_VALUE"""),7.0)</f>
        <v>7</v>
      </c>
      <c r="E222" s="59">
        <f>IFERROR(__xludf.DUMMYFUNCTION("""COMPUTED_VALUE"""),2.0)</f>
        <v>2</v>
      </c>
      <c r="F222" s="59">
        <f>IFERROR(__xludf.DUMMYFUNCTION("""COMPUTED_VALUE"""),1.0)</f>
        <v>1</v>
      </c>
      <c r="G222" s="59">
        <f>IFERROR(__xludf.DUMMYFUNCTION("""COMPUTED_VALUE"""),3.0)</f>
        <v>3</v>
      </c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>
      <c r="A223" s="84">
        <f>IFERROR(__xludf.DUMMYFUNCTION("""COMPUTED_VALUE"""),46046.0)</f>
        <v>46046</v>
      </c>
      <c r="B223" s="59" t="str">
        <f>IFERROR(__xludf.DUMMYFUNCTION("""COMPUTED_VALUE"""),"BALO K")</f>
        <v>BALO K</v>
      </c>
      <c r="C223" s="59" t="str">
        <f>IFERROR(__xludf.DUMMYFUNCTION("""COMPUTED_VALUE"""),"TACTICAL")</f>
        <v>TACTICAL</v>
      </c>
      <c r="D223" s="59">
        <f>IFERROR(__xludf.DUMMYFUNCTION("""COMPUTED_VALUE"""),2.0)</f>
        <v>2</v>
      </c>
      <c r="E223" s="59">
        <f>IFERROR(__xludf.DUMMYFUNCTION("""COMPUTED_VALUE"""),3.0)</f>
        <v>3</v>
      </c>
      <c r="F223" s="59">
        <f>IFERROR(__xludf.DUMMYFUNCTION("""COMPUTED_VALUE"""),0.0)</f>
        <v>0</v>
      </c>
      <c r="G223" s="59">
        <f>IFERROR(__xludf.DUMMYFUNCTION("""COMPUTED_VALUE"""),0.0)</f>
        <v>0</v>
      </c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>
      <c r="A224" s="84">
        <f>IFERROR(__xludf.DUMMYFUNCTION("""COMPUTED_VALUE"""),46046.0)</f>
        <v>46046</v>
      </c>
      <c r="B224" s="59" t="str">
        <f>IFERROR(__xludf.DUMMYFUNCTION("""COMPUTED_VALUE"""),"DADABOI")</f>
        <v>DADABOI</v>
      </c>
      <c r="C224" s="59" t="str">
        <f>IFERROR(__xludf.DUMMYFUNCTION("""COMPUTED_VALUE"""),"GAMEWITHJOSH")</f>
        <v>GAMEWITHJOSH</v>
      </c>
      <c r="D224" s="59">
        <f>IFERROR(__xludf.DUMMYFUNCTION("""COMPUTED_VALUE"""),5.0)</f>
        <v>5</v>
      </c>
      <c r="E224" s="59">
        <f>IFERROR(__xludf.DUMMYFUNCTION("""COMPUTED_VALUE"""),4.0)</f>
        <v>4</v>
      </c>
      <c r="F224" s="59">
        <f>IFERROR(__xludf.DUMMYFUNCTION("""COMPUTED_VALUE"""),1.0)</f>
        <v>1</v>
      </c>
      <c r="G224" s="59">
        <f>IFERROR(__xludf.DUMMYFUNCTION("""COMPUTED_VALUE"""),3.0)</f>
        <v>3</v>
      </c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>
      <c r="A225" s="84">
        <f>IFERROR(__xludf.DUMMYFUNCTION("""COMPUTED_VALUE"""),46046.0)</f>
        <v>46046</v>
      </c>
      <c r="B225" s="59" t="str">
        <f>IFERROR(__xludf.DUMMYFUNCTION("""COMPUTED_VALUE"""),"BAJI SNR")</f>
        <v>BAJI SNR</v>
      </c>
      <c r="C225" s="59" t="str">
        <f>IFERROR(__xludf.DUMMYFUNCTION("""COMPUTED_VALUE"""),"BLAISE99")</f>
        <v>BLAISE99</v>
      </c>
      <c r="D225" s="59">
        <f>IFERROR(__xludf.DUMMYFUNCTION("""COMPUTED_VALUE"""),3.0)</f>
        <v>3</v>
      </c>
      <c r="E225" s="59">
        <f>IFERROR(__xludf.DUMMYFUNCTION("""COMPUTED_VALUE"""),6.0)</f>
        <v>6</v>
      </c>
      <c r="F225" s="59">
        <f>IFERROR(__xludf.DUMMYFUNCTION("""COMPUTED_VALUE"""),0.0)</f>
        <v>0</v>
      </c>
      <c r="G225" s="59">
        <f>IFERROR(__xludf.DUMMYFUNCTION("""COMPUTED_VALUE"""),0.0)</f>
        <v>0</v>
      </c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>
      <c r="A226" s="84">
        <f>IFERROR(__xludf.DUMMYFUNCTION("""COMPUTED_VALUE"""),46046.0)</f>
        <v>46046</v>
      </c>
      <c r="B226" s="59" t="str">
        <f>IFERROR(__xludf.DUMMYFUNCTION("""COMPUTED_VALUE"""),"DRACARYS")</f>
        <v>DRACARYS</v>
      </c>
      <c r="C226" s="59" t="str">
        <f>IFERROR(__xludf.DUMMYFUNCTION("""COMPUTED_VALUE"""),"WOLEVATION")</f>
        <v>WOLEVATION</v>
      </c>
      <c r="D226" s="59">
        <f>IFERROR(__xludf.DUMMYFUNCTION("""COMPUTED_VALUE"""),3.0)</f>
        <v>3</v>
      </c>
      <c r="E226" s="59">
        <f>IFERROR(__xludf.DUMMYFUNCTION("""COMPUTED_VALUE"""),4.0)</f>
        <v>4</v>
      </c>
      <c r="F226" s="59">
        <f>IFERROR(__xludf.DUMMYFUNCTION("""COMPUTED_VALUE"""),0.0)</f>
        <v>0</v>
      </c>
      <c r="G226" s="59">
        <f>IFERROR(__xludf.DUMMYFUNCTION("""COMPUTED_VALUE"""),0.0)</f>
        <v>0</v>
      </c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>
      <c r="A227" s="84">
        <f>IFERROR(__xludf.DUMMYFUNCTION("""COMPUTED_VALUE"""),46046.0)</f>
        <v>46046</v>
      </c>
      <c r="B227" s="59" t="str">
        <f>IFERROR(__xludf.DUMMYFUNCTION("""COMPUTED_VALUE"""),"BRIGHT")</f>
        <v>BRIGHT</v>
      </c>
      <c r="C227" s="59" t="str">
        <f>IFERROR(__xludf.DUMMYFUNCTION("""COMPUTED_VALUE"""),"ANIFE")</f>
        <v>ANIFE</v>
      </c>
      <c r="D227" s="59">
        <f>IFERROR(__xludf.DUMMYFUNCTION("""COMPUTED_VALUE"""),3.0)</f>
        <v>3</v>
      </c>
      <c r="E227" s="59">
        <f>IFERROR(__xludf.DUMMYFUNCTION("""COMPUTED_VALUE"""),6.0)</f>
        <v>6</v>
      </c>
      <c r="F227" s="59">
        <f>IFERROR(__xludf.DUMMYFUNCTION("""COMPUTED_VALUE"""),0.0)</f>
        <v>0</v>
      </c>
      <c r="G227" s="59">
        <f>IFERROR(__xludf.DUMMYFUNCTION("""COMPUTED_VALUE"""),0.0)</f>
        <v>0</v>
      </c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>
      <c r="A228" s="84">
        <f>IFERROR(__xludf.DUMMYFUNCTION("""COMPUTED_VALUE"""),46046.0)</f>
        <v>46046</v>
      </c>
      <c r="B228" s="59" t="str">
        <f>IFERROR(__xludf.DUMMYFUNCTION("""COMPUTED_VALUE"""),"KAYKAY")</f>
        <v>KAYKAY</v>
      </c>
      <c r="C228" s="59" t="str">
        <f>IFERROR(__xludf.DUMMYFUNCTION("""COMPUTED_VALUE"""),"SIMPLYY UZO")</f>
        <v>SIMPLYY UZO</v>
      </c>
      <c r="D228" s="59">
        <f>IFERROR(__xludf.DUMMYFUNCTION("""COMPUTED_VALUE"""),3.0)</f>
        <v>3</v>
      </c>
      <c r="E228" s="59">
        <f>IFERROR(__xludf.DUMMYFUNCTION("""COMPUTED_VALUE"""),0.0)</f>
        <v>0</v>
      </c>
      <c r="F228" s="59">
        <f>IFERROR(__xludf.DUMMYFUNCTION("""COMPUTED_VALUE"""),1.0)</f>
        <v>1</v>
      </c>
      <c r="G228" s="59">
        <f>IFERROR(__xludf.DUMMYFUNCTION("""COMPUTED_VALUE"""),3.0)</f>
        <v>3</v>
      </c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>
      <c r="A229" s="84">
        <f>IFERROR(__xludf.DUMMYFUNCTION("""COMPUTED_VALUE"""),46046.0)</f>
        <v>46046</v>
      </c>
      <c r="B229" s="59" t="str">
        <f>IFERROR(__xludf.DUMMYFUNCTION("""COMPUTED_VALUE"""),"SON OF GOD")</f>
        <v>SON OF GOD</v>
      </c>
      <c r="C229" s="59" t="str">
        <f>IFERROR(__xludf.DUMMYFUNCTION("""COMPUTED_VALUE"""),"KHALEEDOY")</f>
        <v>KHALEEDOY</v>
      </c>
      <c r="D229" s="59">
        <f>IFERROR(__xludf.DUMMYFUNCTION("""COMPUTED_VALUE"""),6.0)</f>
        <v>6</v>
      </c>
      <c r="E229" s="59">
        <f>IFERROR(__xludf.DUMMYFUNCTION("""COMPUTED_VALUE"""),6.0)</f>
        <v>6</v>
      </c>
      <c r="F229" s="59">
        <f>IFERROR(__xludf.DUMMYFUNCTION("""COMPUTED_VALUE"""),0.0)</f>
        <v>0</v>
      </c>
      <c r="G229" s="59">
        <f>IFERROR(__xludf.DUMMYFUNCTION("""COMPUTED_VALUE"""),1.0)</f>
        <v>1</v>
      </c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>
      <c r="A230" s="84">
        <f>IFERROR(__xludf.DUMMYFUNCTION("""COMPUTED_VALUE"""),46046.0)</f>
        <v>46046</v>
      </c>
      <c r="B230" s="59" t="str">
        <f>IFERROR(__xludf.DUMMYFUNCTION("""COMPUTED_VALUE"""),"FLICK")</f>
        <v>FLICK</v>
      </c>
      <c r="C230" s="59" t="str">
        <f>IFERROR(__xludf.DUMMYFUNCTION("""COMPUTED_VALUE"""),"YEMOLEE")</f>
        <v>YEMOLEE</v>
      </c>
      <c r="D230" s="59">
        <f>IFERROR(__xludf.DUMMYFUNCTION("""COMPUTED_VALUE"""),4.0)</f>
        <v>4</v>
      </c>
      <c r="E230" s="59">
        <f>IFERROR(__xludf.DUMMYFUNCTION("""COMPUTED_VALUE"""),4.0)</f>
        <v>4</v>
      </c>
      <c r="F230" s="59">
        <f>IFERROR(__xludf.DUMMYFUNCTION("""COMPUTED_VALUE"""),0.0)</f>
        <v>0</v>
      </c>
      <c r="G230" s="59">
        <f>IFERROR(__xludf.DUMMYFUNCTION("""COMPUTED_VALUE"""),1.0)</f>
        <v>1</v>
      </c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>
      <c r="A231" s="84">
        <f>IFERROR(__xludf.DUMMYFUNCTION("""COMPUTED_VALUE"""),46047.0)</f>
        <v>46047</v>
      </c>
      <c r="B231" s="59" t="str">
        <f>IFERROR(__xludf.DUMMYFUNCTION("""COMPUTED_VALUE"""),"GAMEWITHJOSH")</f>
        <v>GAMEWITHJOSH</v>
      </c>
      <c r="C231" s="59" t="str">
        <f>IFERROR(__xludf.DUMMYFUNCTION("""COMPUTED_VALUE"""),"RHYMEZ")</f>
        <v>RHYMEZ</v>
      </c>
      <c r="D231" s="59">
        <f>IFERROR(__xludf.DUMMYFUNCTION("""COMPUTED_VALUE"""),5.0)</f>
        <v>5</v>
      </c>
      <c r="E231" s="59">
        <f>IFERROR(__xludf.DUMMYFUNCTION("""COMPUTED_VALUE"""),3.0)</f>
        <v>3</v>
      </c>
      <c r="F231" s="59">
        <f>IFERROR(__xludf.DUMMYFUNCTION("""COMPUTED_VALUE"""),1.0)</f>
        <v>1</v>
      </c>
      <c r="G231" s="59">
        <f>IFERROR(__xludf.DUMMYFUNCTION("""COMPUTED_VALUE"""),3.0)</f>
        <v>3</v>
      </c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>
      <c r="A232" s="84">
        <f>IFERROR(__xludf.DUMMYFUNCTION("""COMPUTED_VALUE"""),46047.0)</f>
        <v>46047</v>
      </c>
      <c r="B232" s="59" t="str">
        <f>IFERROR(__xludf.DUMMYFUNCTION("""COMPUTED_VALUE"""),"MR OGA")</f>
        <v>MR OGA</v>
      </c>
      <c r="C232" s="59" t="str">
        <f>IFERROR(__xludf.DUMMYFUNCTION("""COMPUTED_VALUE"""),"SIMPLYY UZO")</f>
        <v>SIMPLYY UZO</v>
      </c>
      <c r="D232" s="59">
        <f>IFERROR(__xludf.DUMMYFUNCTION("""COMPUTED_VALUE"""),6.0)</f>
        <v>6</v>
      </c>
      <c r="E232" s="59">
        <f>IFERROR(__xludf.DUMMYFUNCTION("""COMPUTED_VALUE"""),3.0)</f>
        <v>3</v>
      </c>
      <c r="F232" s="59">
        <f>IFERROR(__xludf.DUMMYFUNCTION("""COMPUTED_VALUE"""),1.0)</f>
        <v>1</v>
      </c>
      <c r="G232" s="59">
        <f>IFERROR(__xludf.DUMMYFUNCTION("""COMPUTED_VALUE"""),3.0)</f>
        <v>3</v>
      </c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>
      <c r="A233" s="84">
        <f>IFERROR(__xludf.DUMMYFUNCTION("""COMPUTED_VALUE"""),46047.0)</f>
        <v>46047</v>
      </c>
      <c r="B233" s="59" t="str">
        <f>IFERROR(__xludf.DUMMYFUNCTION("""COMPUTED_VALUE"""),"DADABOI")</f>
        <v>DADABOI</v>
      </c>
      <c r="C233" s="59" t="str">
        <f>IFERROR(__xludf.DUMMYFUNCTION("""COMPUTED_VALUE"""),"YEMOLEE")</f>
        <v>YEMOLEE</v>
      </c>
      <c r="D233" s="59">
        <f>IFERROR(__xludf.DUMMYFUNCTION("""COMPUTED_VALUE"""),3.0)</f>
        <v>3</v>
      </c>
      <c r="E233" s="59">
        <f>IFERROR(__xludf.DUMMYFUNCTION("""COMPUTED_VALUE"""),7.0)</f>
        <v>7</v>
      </c>
      <c r="F233" s="59">
        <f>IFERROR(__xludf.DUMMYFUNCTION("""COMPUTED_VALUE"""),0.0)</f>
        <v>0</v>
      </c>
      <c r="G233" s="59">
        <f>IFERROR(__xludf.DUMMYFUNCTION("""COMPUTED_VALUE"""),0.0)</f>
        <v>0</v>
      </c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>
      <c r="A234" s="84">
        <f>IFERROR(__xludf.DUMMYFUNCTION("""COMPUTED_VALUE"""),46047.0)</f>
        <v>46047</v>
      </c>
      <c r="B234" s="59" t="str">
        <f>IFERROR(__xludf.DUMMYFUNCTION("""COMPUTED_VALUE"""),"BRIGHT")</f>
        <v>BRIGHT</v>
      </c>
      <c r="C234" s="59" t="str">
        <f>IFERROR(__xludf.DUMMYFUNCTION("""COMPUTED_VALUE"""),"KAYKAY")</f>
        <v>KAYKAY</v>
      </c>
      <c r="D234" s="59">
        <f>IFERROR(__xludf.DUMMYFUNCTION("""COMPUTED_VALUE"""),3.0)</f>
        <v>3</v>
      </c>
      <c r="E234" s="59">
        <f>IFERROR(__xludf.DUMMYFUNCTION("""COMPUTED_VALUE"""),6.0)</f>
        <v>6</v>
      </c>
      <c r="F234" s="59">
        <f>IFERROR(__xludf.DUMMYFUNCTION("""COMPUTED_VALUE"""),0.0)</f>
        <v>0</v>
      </c>
      <c r="G234" s="59">
        <f>IFERROR(__xludf.DUMMYFUNCTION("""COMPUTED_VALUE"""),0.0)</f>
        <v>0</v>
      </c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>
      <c r="A235" s="84">
        <f>IFERROR(__xludf.DUMMYFUNCTION("""COMPUTED_VALUE"""),46047.0)</f>
        <v>46047</v>
      </c>
      <c r="B235" s="59" t="str">
        <f>IFERROR(__xludf.DUMMYFUNCTION("""COMPUTED_VALUE"""),"SON OF GOD")</f>
        <v>SON OF GOD</v>
      </c>
      <c r="C235" s="59" t="str">
        <f>IFERROR(__xludf.DUMMYFUNCTION("""COMPUTED_VALUE"""),"GAMEWITHJOSH")</f>
        <v>GAMEWITHJOSH</v>
      </c>
      <c r="D235" s="59">
        <f>IFERROR(__xludf.DUMMYFUNCTION("""COMPUTED_VALUE"""),2.0)</f>
        <v>2</v>
      </c>
      <c r="E235" s="59">
        <f>IFERROR(__xludf.DUMMYFUNCTION("""COMPUTED_VALUE"""),4.0)</f>
        <v>4</v>
      </c>
      <c r="F235" s="59">
        <f>IFERROR(__xludf.DUMMYFUNCTION("""COMPUTED_VALUE"""),0.0)</f>
        <v>0</v>
      </c>
      <c r="G235" s="59">
        <f>IFERROR(__xludf.DUMMYFUNCTION("""COMPUTED_VALUE"""),0.0)</f>
        <v>0</v>
      </c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>
      <c r="A236" s="84">
        <f>IFERROR(__xludf.DUMMYFUNCTION("""COMPUTED_VALUE"""),46047.0)</f>
        <v>46047</v>
      </c>
      <c r="B236" s="59" t="str">
        <f>IFERROR(__xludf.DUMMYFUNCTION("""COMPUTED_VALUE"""),"BRIGHT")</f>
        <v>BRIGHT</v>
      </c>
      <c r="C236" s="59" t="str">
        <f>IFERROR(__xludf.DUMMYFUNCTION("""COMPUTED_VALUE"""),"RHYMEZ")</f>
        <v>RHYMEZ</v>
      </c>
      <c r="D236" s="59">
        <f>IFERROR(__xludf.DUMMYFUNCTION("""COMPUTED_VALUE"""),2.0)</f>
        <v>2</v>
      </c>
      <c r="E236" s="59">
        <f>IFERROR(__xludf.DUMMYFUNCTION("""COMPUTED_VALUE"""),5.0)</f>
        <v>5</v>
      </c>
      <c r="F236" s="59">
        <f>IFERROR(__xludf.DUMMYFUNCTION("""COMPUTED_VALUE"""),0.0)</f>
        <v>0</v>
      </c>
      <c r="G236" s="59">
        <f>IFERROR(__xludf.DUMMYFUNCTION("""COMPUTED_VALUE"""),0.0)</f>
        <v>0</v>
      </c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>
      <c r="A237" s="84">
        <f>IFERROR(__xludf.DUMMYFUNCTION("""COMPUTED_VALUE"""),46047.0)</f>
        <v>46047</v>
      </c>
      <c r="B237" s="59" t="str">
        <f>IFERROR(__xludf.DUMMYFUNCTION("""COMPUTED_VALUE"""),"DRACARYS")</f>
        <v>DRACARYS</v>
      </c>
      <c r="C237" s="59" t="str">
        <f>IFERROR(__xludf.DUMMYFUNCTION("""COMPUTED_VALUE"""),"GURU")</f>
        <v>GURU</v>
      </c>
      <c r="D237" s="59">
        <f>IFERROR(__xludf.DUMMYFUNCTION("""COMPUTED_VALUE"""),1.0)</f>
        <v>1</v>
      </c>
      <c r="E237" s="59">
        <f>IFERROR(__xludf.DUMMYFUNCTION("""COMPUTED_VALUE"""),6.0)</f>
        <v>6</v>
      </c>
      <c r="F237" s="59">
        <f>IFERROR(__xludf.DUMMYFUNCTION("""COMPUTED_VALUE"""),0.0)</f>
        <v>0</v>
      </c>
      <c r="G237" s="59">
        <f>IFERROR(__xludf.DUMMYFUNCTION("""COMPUTED_VALUE"""),0.0)</f>
        <v>0</v>
      </c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>
      <c r="A238" s="84">
        <f>IFERROR(__xludf.DUMMYFUNCTION("""COMPUTED_VALUE"""),46047.0)</f>
        <v>46047</v>
      </c>
      <c r="B238" s="59" t="str">
        <f>IFERROR(__xludf.DUMMYFUNCTION("""COMPUTED_VALUE"""),"SON OF GOD")</f>
        <v>SON OF GOD</v>
      </c>
      <c r="C238" s="59" t="str">
        <f>IFERROR(__xludf.DUMMYFUNCTION("""COMPUTED_VALUE"""),"BALO K")</f>
        <v>BALO K</v>
      </c>
      <c r="D238" s="59">
        <f>IFERROR(__xludf.DUMMYFUNCTION("""COMPUTED_VALUE"""),5.0)</f>
        <v>5</v>
      </c>
      <c r="E238" s="59">
        <f>IFERROR(__xludf.DUMMYFUNCTION("""COMPUTED_VALUE"""),3.0)</f>
        <v>3</v>
      </c>
      <c r="F238" s="59">
        <f>IFERROR(__xludf.DUMMYFUNCTION("""COMPUTED_VALUE"""),1.0)</f>
        <v>1</v>
      </c>
      <c r="G238" s="59">
        <f>IFERROR(__xludf.DUMMYFUNCTION("""COMPUTED_VALUE"""),3.0)</f>
        <v>3</v>
      </c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>
      <c r="A239" s="84">
        <f>IFERROR(__xludf.DUMMYFUNCTION("""COMPUTED_VALUE"""),46047.0)</f>
        <v>46047</v>
      </c>
      <c r="B239" s="59" t="str">
        <f>IFERROR(__xludf.DUMMYFUNCTION("""COMPUTED_VALUE"""),"WOLEVATION")</f>
        <v>WOLEVATION</v>
      </c>
      <c r="C239" s="59" t="str">
        <f>IFERROR(__xludf.DUMMYFUNCTION("""COMPUTED_VALUE"""),"BAJI SNR")</f>
        <v>BAJI SNR</v>
      </c>
      <c r="D239" s="59">
        <f>IFERROR(__xludf.DUMMYFUNCTION("""COMPUTED_VALUE"""),3.0)</f>
        <v>3</v>
      </c>
      <c r="E239" s="59">
        <f>IFERROR(__xludf.DUMMYFUNCTION("""COMPUTED_VALUE"""),0.0)</f>
        <v>0</v>
      </c>
      <c r="F239" s="59">
        <f>IFERROR(__xludf.DUMMYFUNCTION("""COMPUTED_VALUE"""),1.0)</f>
        <v>1</v>
      </c>
      <c r="G239" s="59">
        <f>IFERROR(__xludf.DUMMYFUNCTION("""COMPUTED_VALUE"""),3.0)</f>
        <v>3</v>
      </c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>
      <c r="A240" s="84">
        <f>IFERROR(__xludf.DUMMYFUNCTION("""COMPUTED_VALUE"""),46047.0)</f>
        <v>46047</v>
      </c>
      <c r="B240" s="59" t="str">
        <f>IFERROR(__xludf.DUMMYFUNCTION("""COMPUTED_VALUE"""),"MR OGA")</f>
        <v>MR OGA</v>
      </c>
      <c r="C240" s="59" t="str">
        <f>IFERROR(__xludf.DUMMYFUNCTION("""COMPUTED_VALUE"""),"BAJI SNR")</f>
        <v>BAJI SNR</v>
      </c>
      <c r="D240" s="59">
        <f>IFERROR(__xludf.DUMMYFUNCTION("""COMPUTED_VALUE"""),3.0)</f>
        <v>3</v>
      </c>
      <c r="E240" s="59">
        <f>IFERROR(__xludf.DUMMYFUNCTION("""COMPUTED_VALUE"""),0.0)</f>
        <v>0</v>
      </c>
      <c r="F240" s="59">
        <f>IFERROR(__xludf.DUMMYFUNCTION("""COMPUTED_VALUE"""),1.0)</f>
        <v>1</v>
      </c>
      <c r="G240" s="59">
        <f>IFERROR(__xludf.DUMMYFUNCTION("""COMPUTED_VALUE"""),3.0)</f>
        <v>3</v>
      </c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>
      <c r="A241" s="84">
        <f>IFERROR(__xludf.DUMMYFUNCTION("""COMPUTED_VALUE"""),46047.0)</f>
        <v>46047</v>
      </c>
      <c r="B241" s="59" t="str">
        <f>IFERROR(__xludf.DUMMYFUNCTION("""COMPUTED_VALUE"""),"KINGNONEX")</f>
        <v>KINGNONEX</v>
      </c>
      <c r="C241" s="59" t="str">
        <f>IFERROR(__xludf.DUMMYFUNCTION("""COMPUTED_VALUE"""),"TACTICAL")</f>
        <v>TACTICAL</v>
      </c>
      <c r="D241" s="59">
        <f>IFERROR(__xludf.DUMMYFUNCTION("""COMPUTED_VALUE"""),3.0)</f>
        <v>3</v>
      </c>
      <c r="E241" s="59">
        <f>IFERROR(__xludf.DUMMYFUNCTION("""COMPUTED_VALUE"""),4.0)</f>
        <v>4</v>
      </c>
      <c r="F241" s="59">
        <f>IFERROR(__xludf.DUMMYFUNCTION("""COMPUTED_VALUE"""),0.0)</f>
        <v>0</v>
      </c>
      <c r="G241" s="59">
        <f>IFERROR(__xludf.DUMMYFUNCTION("""COMPUTED_VALUE"""),0.0)</f>
        <v>0</v>
      </c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>
      <c r="A242" s="84">
        <f>IFERROR(__xludf.DUMMYFUNCTION("""COMPUTED_VALUE"""),46047.0)</f>
        <v>46047</v>
      </c>
      <c r="B242" s="59" t="str">
        <f>IFERROR(__xludf.DUMMYFUNCTION("""COMPUTED_VALUE"""),"FLICK")</f>
        <v>FLICK</v>
      </c>
      <c r="C242" s="59" t="str">
        <f>IFERROR(__xludf.DUMMYFUNCTION("""COMPUTED_VALUE"""),"KHALEEDOY")</f>
        <v>KHALEEDOY</v>
      </c>
      <c r="D242" s="59">
        <f>IFERROR(__xludf.DUMMYFUNCTION("""COMPUTED_VALUE"""),2.0)</f>
        <v>2</v>
      </c>
      <c r="E242" s="59">
        <f>IFERROR(__xludf.DUMMYFUNCTION("""COMPUTED_VALUE"""),10.0)</f>
        <v>10</v>
      </c>
      <c r="F242" s="59">
        <f>IFERROR(__xludf.DUMMYFUNCTION("""COMPUTED_VALUE"""),0.0)</f>
        <v>0</v>
      </c>
      <c r="G242" s="59">
        <f>IFERROR(__xludf.DUMMYFUNCTION("""COMPUTED_VALUE"""),0.0)</f>
        <v>0</v>
      </c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>
      <c r="A243" s="84">
        <f>IFERROR(__xludf.DUMMYFUNCTION("""COMPUTED_VALUE"""),46055.0)</f>
        <v>46055</v>
      </c>
      <c r="B243" s="59" t="str">
        <f>IFERROR(__xludf.DUMMYFUNCTION("""COMPUTED_VALUE"""),"BLAISE99")</f>
        <v>BLAISE99</v>
      </c>
      <c r="C243" s="59" t="str">
        <f>IFERROR(__xludf.DUMMYFUNCTION("""COMPUTED_VALUE"""),"MR OGA")</f>
        <v>MR OGA</v>
      </c>
      <c r="D243" s="59">
        <f>IFERROR(__xludf.DUMMYFUNCTION("""COMPUTED_VALUE"""),5.0)</f>
        <v>5</v>
      </c>
      <c r="E243" s="59">
        <f>IFERROR(__xludf.DUMMYFUNCTION("""COMPUTED_VALUE"""),6.0)</f>
        <v>6</v>
      </c>
      <c r="F243" s="59">
        <f>IFERROR(__xludf.DUMMYFUNCTION("""COMPUTED_VALUE"""),0.0)</f>
        <v>0</v>
      </c>
      <c r="G243" s="59">
        <f>IFERROR(__xludf.DUMMYFUNCTION("""COMPUTED_VALUE"""),0.0)</f>
        <v>0</v>
      </c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>
      <c r="A244" s="84">
        <f>IFERROR(__xludf.DUMMYFUNCTION("""COMPUTED_VALUE"""),46055.0)</f>
        <v>46055</v>
      </c>
      <c r="B244" s="59" t="str">
        <f>IFERROR(__xludf.DUMMYFUNCTION("""COMPUTED_VALUE"""),"KHALEEDOY")</f>
        <v>KHALEEDOY</v>
      </c>
      <c r="C244" s="59" t="str">
        <f>IFERROR(__xludf.DUMMYFUNCTION("""COMPUTED_VALUE"""),"TACTICAL")</f>
        <v>TACTICAL</v>
      </c>
      <c r="D244" s="59">
        <f>IFERROR(__xludf.DUMMYFUNCTION("""COMPUTED_VALUE"""),3.0)</f>
        <v>3</v>
      </c>
      <c r="E244" s="59">
        <f>IFERROR(__xludf.DUMMYFUNCTION("""COMPUTED_VALUE"""),4.0)</f>
        <v>4</v>
      </c>
      <c r="F244" s="59">
        <f>IFERROR(__xludf.DUMMYFUNCTION("""COMPUTED_VALUE"""),0.0)</f>
        <v>0</v>
      </c>
      <c r="G244" s="59">
        <f>IFERROR(__xludf.DUMMYFUNCTION("""COMPUTED_VALUE"""),0.0)</f>
        <v>0</v>
      </c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>
      <c r="A245" s="84">
        <f>IFERROR(__xludf.DUMMYFUNCTION("""COMPUTED_VALUE"""),46055.0)</f>
        <v>46055</v>
      </c>
      <c r="B245" s="59" t="str">
        <f>IFERROR(__xludf.DUMMYFUNCTION("""COMPUTED_VALUE"""),"YEMOLEE")</f>
        <v>YEMOLEE</v>
      </c>
      <c r="C245" s="59" t="str">
        <f>IFERROR(__xludf.DUMMYFUNCTION("""COMPUTED_VALUE"""),"GURU")</f>
        <v>GURU</v>
      </c>
      <c r="D245" s="59">
        <f>IFERROR(__xludf.DUMMYFUNCTION("""COMPUTED_VALUE"""),5.0)</f>
        <v>5</v>
      </c>
      <c r="E245" s="59">
        <f>IFERROR(__xludf.DUMMYFUNCTION("""COMPUTED_VALUE"""),3.0)</f>
        <v>3</v>
      </c>
      <c r="F245" s="59">
        <f>IFERROR(__xludf.DUMMYFUNCTION("""COMPUTED_VALUE"""),1.0)</f>
        <v>1</v>
      </c>
      <c r="G245" s="59">
        <f>IFERROR(__xludf.DUMMYFUNCTION("""COMPUTED_VALUE"""),3.0)</f>
        <v>3</v>
      </c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>
      <c r="A246" s="84">
        <f>IFERROR(__xludf.DUMMYFUNCTION("""COMPUTED_VALUE"""),46055.0)</f>
        <v>46055</v>
      </c>
      <c r="B246" s="59" t="str">
        <f>IFERROR(__xludf.DUMMYFUNCTION("""COMPUTED_VALUE"""),"DADABOI")</f>
        <v>DADABOI</v>
      </c>
      <c r="C246" s="59" t="str">
        <f>IFERROR(__xludf.DUMMYFUNCTION("""COMPUTED_VALUE"""),"ANIFE")</f>
        <v>ANIFE</v>
      </c>
      <c r="D246" s="59">
        <f>IFERROR(__xludf.DUMMYFUNCTION("""COMPUTED_VALUE"""),6.0)</f>
        <v>6</v>
      </c>
      <c r="E246" s="59">
        <f>IFERROR(__xludf.DUMMYFUNCTION("""COMPUTED_VALUE"""),5.0)</f>
        <v>5</v>
      </c>
      <c r="F246" s="59">
        <f>IFERROR(__xludf.DUMMYFUNCTION("""COMPUTED_VALUE"""),1.0)</f>
        <v>1</v>
      </c>
      <c r="G246" s="59">
        <f>IFERROR(__xludf.DUMMYFUNCTION("""COMPUTED_VALUE"""),3.0)</f>
        <v>3</v>
      </c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>
      <c r="A247" s="84">
        <f>IFERROR(__xludf.DUMMYFUNCTION("""COMPUTED_VALUE"""),46055.0)</f>
        <v>46055</v>
      </c>
      <c r="B247" s="59" t="str">
        <f>IFERROR(__xludf.DUMMYFUNCTION("""COMPUTED_VALUE"""),"DRACARYS")</f>
        <v>DRACARYS</v>
      </c>
      <c r="C247" s="59" t="str">
        <f>IFERROR(__xludf.DUMMYFUNCTION("""COMPUTED_VALUE"""),"BAJI SNR")</f>
        <v>BAJI SNR</v>
      </c>
      <c r="D247" s="59">
        <f>IFERROR(__xludf.DUMMYFUNCTION("""COMPUTED_VALUE"""),4.0)</f>
        <v>4</v>
      </c>
      <c r="E247" s="59">
        <f>IFERROR(__xludf.DUMMYFUNCTION("""COMPUTED_VALUE"""),1.0)</f>
        <v>1</v>
      </c>
      <c r="F247" s="59">
        <f>IFERROR(__xludf.DUMMYFUNCTION("""COMPUTED_VALUE"""),1.0)</f>
        <v>1</v>
      </c>
      <c r="G247" s="59">
        <f>IFERROR(__xludf.DUMMYFUNCTION("""COMPUTED_VALUE"""),3.0)</f>
        <v>3</v>
      </c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>
      <c r="A248" s="84">
        <f>IFERROR(__xludf.DUMMYFUNCTION("""COMPUTED_VALUE"""),46055.0)</f>
        <v>46055</v>
      </c>
      <c r="B248" s="59" t="str">
        <f>IFERROR(__xludf.DUMMYFUNCTION("""COMPUTED_VALUE"""),"BLAISE99")</f>
        <v>BLAISE99</v>
      </c>
      <c r="C248" s="59" t="str">
        <f>IFERROR(__xludf.DUMMYFUNCTION("""COMPUTED_VALUE"""),"RHYMEZ")</f>
        <v>RHYMEZ</v>
      </c>
      <c r="D248" s="59">
        <f>IFERROR(__xludf.DUMMYFUNCTION("""COMPUTED_VALUE"""),2.0)</f>
        <v>2</v>
      </c>
      <c r="E248" s="59">
        <f>IFERROR(__xludf.DUMMYFUNCTION("""COMPUTED_VALUE"""),6.0)</f>
        <v>6</v>
      </c>
      <c r="F248" s="59">
        <f>IFERROR(__xludf.DUMMYFUNCTION("""COMPUTED_VALUE"""),0.0)</f>
        <v>0</v>
      </c>
      <c r="G248" s="59">
        <f>IFERROR(__xludf.DUMMYFUNCTION("""COMPUTED_VALUE"""),0.0)</f>
        <v>0</v>
      </c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>
      <c r="A249" s="84">
        <f>IFERROR(__xludf.DUMMYFUNCTION("""COMPUTED_VALUE"""),46055.0)</f>
        <v>46055</v>
      </c>
      <c r="B249" s="59" t="str">
        <f>IFERROR(__xludf.DUMMYFUNCTION("""COMPUTED_VALUE"""),"TACTICAL")</f>
        <v>TACTICAL</v>
      </c>
      <c r="C249" s="59" t="str">
        <f>IFERROR(__xludf.DUMMYFUNCTION("""COMPUTED_VALUE"""),"SON OF GOD")</f>
        <v>SON OF GOD</v>
      </c>
      <c r="D249" s="59">
        <f>IFERROR(__xludf.DUMMYFUNCTION("""COMPUTED_VALUE"""),5.0)</f>
        <v>5</v>
      </c>
      <c r="E249" s="59">
        <f>IFERROR(__xludf.DUMMYFUNCTION("""COMPUTED_VALUE"""),3.0)</f>
        <v>3</v>
      </c>
      <c r="F249" s="59">
        <f>IFERROR(__xludf.DUMMYFUNCTION("""COMPUTED_VALUE"""),1.0)</f>
        <v>1</v>
      </c>
      <c r="G249" s="59">
        <f>IFERROR(__xludf.DUMMYFUNCTION("""COMPUTED_VALUE"""),3.0)</f>
        <v>3</v>
      </c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>
      <c r="A250" s="84">
        <f>IFERROR(__xludf.DUMMYFUNCTION("""COMPUTED_VALUE"""),46055.0)</f>
        <v>46055</v>
      </c>
      <c r="B250" s="59" t="str">
        <f>IFERROR(__xludf.DUMMYFUNCTION("""COMPUTED_VALUE"""),"BRIGHT")</f>
        <v>BRIGHT</v>
      </c>
      <c r="C250" s="59" t="str">
        <f>IFERROR(__xludf.DUMMYFUNCTION("""COMPUTED_VALUE"""),"MR OGA")</f>
        <v>MR OGA</v>
      </c>
      <c r="D250" s="59">
        <f>IFERROR(__xludf.DUMMYFUNCTION("""COMPUTED_VALUE"""),5.0)</f>
        <v>5</v>
      </c>
      <c r="E250" s="59">
        <f>IFERROR(__xludf.DUMMYFUNCTION("""COMPUTED_VALUE"""),6.0)</f>
        <v>6</v>
      </c>
      <c r="F250" s="59">
        <f>IFERROR(__xludf.DUMMYFUNCTION("""COMPUTED_VALUE"""),0.0)</f>
        <v>0</v>
      </c>
      <c r="G250" s="59">
        <f>IFERROR(__xludf.DUMMYFUNCTION("""COMPUTED_VALUE"""),0.0)</f>
        <v>0</v>
      </c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>
      <c r="A251" s="84">
        <f>IFERROR(__xludf.DUMMYFUNCTION("""COMPUTED_VALUE"""),46055.0)</f>
        <v>46055</v>
      </c>
      <c r="B251" s="59" t="str">
        <f>IFERROR(__xludf.DUMMYFUNCTION("""COMPUTED_VALUE"""),"KAYKAY")</f>
        <v>KAYKAY</v>
      </c>
      <c r="C251" s="59" t="str">
        <f>IFERROR(__xludf.DUMMYFUNCTION("""COMPUTED_VALUE"""),"ANIFE")</f>
        <v>ANIFE</v>
      </c>
      <c r="D251" s="59">
        <f>IFERROR(__xludf.DUMMYFUNCTION("""COMPUTED_VALUE"""),6.0)</f>
        <v>6</v>
      </c>
      <c r="E251" s="59">
        <f>IFERROR(__xludf.DUMMYFUNCTION("""COMPUTED_VALUE"""),7.0)</f>
        <v>7</v>
      </c>
      <c r="F251" s="59">
        <f>IFERROR(__xludf.DUMMYFUNCTION("""COMPUTED_VALUE"""),0.0)</f>
        <v>0</v>
      </c>
      <c r="G251" s="59">
        <f>IFERROR(__xludf.DUMMYFUNCTION("""COMPUTED_VALUE"""),0.0)</f>
        <v>0</v>
      </c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>
      <c r="A252" s="84">
        <f>IFERROR(__xludf.DUMMYFUNCTION("""COMPUTED_VALUE"""),46055.0)</f>
        <v>46055</v>
      </c>
      <c r="B252" s="59" t="str">
        <f>IFERROR(__xludf.DUMMYFUNCTION("""COMPUTED_VALUE"""),"BAJI SNR")</f>
        <v>BAJI SNR</v>
      </c>
      <c r="C252" s="59" t="str">
        <f>IFERROR(__xludf.DUMMYFUNCTION("""COMPUTED_VALUE"""),"RHYMEZ")</f>
        <v>RHYMEZ</v>
      </c>
      <c r="D252" s="59">
        <f>IFERROR(__xludf.DUMMYFUNCTION("""COMPUTED_VALUE"""),4.0)</f>
        <v>4</v>
      </c>
      <c r="E252" s="59">
        <f>IFERROR(__xludf.DUMMYFUNCTION("""COMPUTED_VALUE"""),6.0)</f>
        <v>6</v>
      </c>
      <c r="F252" s="59">
        <f>IFERROR(__xludf.DUMMYFUNCTION("""COMPUTED_VALUE"""),0.0)</f>
        <v>0</v>
      </c>
      <c r="G252" s="59">
        <f>IFERROR(__xludf.DUMMYFUNCTION("""COMPUTED_VALUE"""),0.0)</f>
        <v>0</v>
      </c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>
      <c r="A253" s="84">
        <f>IFERROR(__xludf.DUMMYFUNCTION("""COMPUTED_VALUE"""),46055.0)</f>
        <v>46055</v>
      </c>
      <c r="B253" s="59" t="str">
        <f>IFERROR(__xludf.DUMMYFUNCTION("""COMPUTED_VALUE"""),"FLICK")</f>
        <v>FLICK</v>
      </c>
      <c r="C253" s="59" t="str">
        <f>IFERROR(__xludf.DUMMYFUNCTION("""COMPUTED_VALUE"""),"KAYKAY")</f>
        <v>KAYKAY</v>
      </c>
      <c r="D253" s="59">
        <f>IFERROR(__xludf.DUMMYFUNCTION("""COMPUTED_VALUE"""),3.0)</f>
        <v>3</v>
      </c>
      <c r="E253" s="59">
        <f>IFERROR(__xludf.DUMMYFUNCTION("""COMPUTED_VALUE"""),6.0)</f>
        <v>6</v>
      </c>
      <c r="F253" s="59">
        <f>IFERROR(__xludf.DUMMYFUNCTION("""COMPUTED_VALUE"""),0.0)</f>
        <v>0</v>
      </c>
      <c r="G253" s="59">
        <f>IFERROR(__xludf.DUMMYFUNCTION("""COMPUTED_VALUE"""),0.0)</f>
        <v>0</v>
      </c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>
      <c r="A254" s="84">
        <f>IFERROR(__xludf.DUMMYFUNCTION("""COMPUTED_VALUE"""),46055.0)</f>
        <v>46055</v>
      </c>
      <c r="B254" s="59" t="str">
        <f>IFERROR(__xludf.DUMMYFUNCTION("""COMPUTED_VALUE"""),"KHALEEDOY")</f>
        <v>KHALEEDOY</v>
      </c>
      <c r="C254" s="59" t="str">
        <f>IFERROR(__xludf.DUMMYFUNCTION("""COMPUTED_VALUE"""),"DADABOI")</f>
        <v>DADABOI</v>
      </c>
      <c r="D254" s="59">
        <f>IFERROR(__xludf.DUMMYFUNCTION("""COMPUTED_VALUE"""),3.0)</f>
        <v>3</v>
      </c>
      <c r="E254" s="59">
        <f>IFERROR(__xludf.DUMMYFUNCTION("""COMPUTED_VALUE"""),3.0)</f>
        <v>3</v>
      </c>
      <c r="F254" s="59">
        <f>IFERROR(__xludf.DUMMYFUNCTION("""COMPUTED_VALUE"""),0.0)</f>
        <v>0</v>
      </c>
      <c r="G254" s="59">
        <f>IFERROR(__xludf.DUMMYFUNCTION("""COMPUTED_VALUE"""),1.0)</f>
        <v>1</v>
      </c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>
      <c r="A255" s="84">
        <f>IFERROR(__xludf.DUMMYFUNCTION("""COMPUTED_VALUE"""),46055.0)</f>
        <v>46055</v>
      </c>
      <c r="B255" s="59" t="str">
        <f>IFERROR(__xludf.DUMMYFUNCTION("""COMPUTED_VALUE"""),"KINGNONEX")</f>
        <v>KINGNONEX</v>
      </c>
      <c r="C255" s="59" t="str">
        <f>IFERROR(__xludf.DUMMYFUNCTION("""COMPUTED_VALUE"""),"WOLEVATION")</f>
        <v>WOLEVATION</v>
      </c>
      <c r="D255" s="59">
        <f>IFERROR(__xludf.DUMMYFUNCTION("""COMPUTED_VALUE"""),5.0)</f>
        <v>5</v>
      </c>
      <c r="E255" s="59">
        <f>IFERROR(__xludf.DUMMYFUNCTION("""COMPUTED_VALUE"""),0.0)</f>
        <v>0</v>
      </c>
      <c r="F255" s="59">
        <f>IFERROR(__xludf.DUMMYFUNCTION("""COMPUTED_VALUE"""),1.0)</f>
        <v>1</v>
      </c>
      <c r="G255" s="59">
        <f>IFERROR(__xludf.DUMMYFUNCTION("""COMPUTED_VALUE"""),3.0)</f>
        <v>3</v>
      </c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>
      <c r="A256" s="84">
        <f>IFERROR(__xludf.DUMMYFUNCTION("""COMPUTED_VALUE"""),46055.0)</f>
        <v>46055</v>
      </c>
      <c r="B256" s="59" t="str">
        <f>IFERROR(__xludf.DUMMYFUNCTION("""COMPUTED_VALUE"""),"BALO K")</f>
        <v>BALO K</v>
      </c>
      <c r="C256" s="59" t="str">
        <f>IFERROR(__xludf.DUMMYFUNCTION("""COMPUTED_VALUE"""),"GURU")</f>
        <v>GURU</v>
      </c>
      <c r="D256" s="59">
        <f>IFERROR(__xludf.DUMMYFUNCTION("""COMPUTED_VALUE"""),3.0)</f>
        <v>3</v>
      </c>
      <c r="E256" s="59">
        <f>IFERROR(__xludf.DUMMYFUNCTION("""COMPUTED_VALUE"""),16.0)</f>
        <v>16</v>
      </c>
      <c r="F256" s="59">
        <f>IFERROR(__xludf.DUMMYFUNCTION("""COMPUTED_VALUE"""),0.0)</f>
        <v>0</v>
      </c>
      <c r="G256" s="59">
        <f>IFERROR(__xludf.DUMMYFUNCTION("""COMPUTED_VALUE"""),0.0)</f>
        <v>0</v>
      </c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>
      <c r="A257" s="84">
        <f>IFERROR(__xludf.DUMMYFUNCTION("""COMPUTED_VALUE"""),46055.0)</f>
        <v>46055</v>
      </c>
      <c r="B257" s="59" t="str">
        <f>IFERROR(__xludf.DUMMYFUNCTION("""COMPUTED_VALUE"""),"SON OF GOD")</f>
        <v>SON OF GOD</v>
      </c>
      <c r="C257" s="59" t="str">
        <f>IFERROR(__xludf.DUMMYFUNCTION("""COMPUTED_VALUE"""),"YEMOLEE")</f>
        <v>YEMOLEE</v>
      </c>
      <c r="D257" s="59">
        <f>IFERROR(__xludf.DUMMYFUNCTION("""COMPUTED_VALUE"""),7.0)</f>
        <v>7</v>
      </c>
      <c r="E257" s="59">
        <f>IFERROR(__xludf.DUMMYFUNCTION("""COMPUTED_VALUE"""),6.0)</f>
        <v>6</v>
      </c>
      <c r="F257" s="59">
        <f>IFERROR(__xludf.DUMMYFUNCTION("""COMPUTED_VALUE"""),1.0)</f>
        <v>1</v>
      </c>
      <c r="G257" s="59">
        <f>IFERROR(__xludf.DUMMYFUNCTION("""COMPUTED_VALUE"""),3.0)</f>
        <v>3</v>
      </c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>
      <c r="A258" s="84">
        <f>IFERROR(__xludf.DUMMYFUNCTION("""COMPUTED_VALUE"""),46055.0)</f>
        <v>46055</v>
      </c>
      <c r="B258" s="59" t="str">
        <f>IFERROR(__xludf.DUMMYFUNCTION("""COMPUTED_VALUE"""),"WOLEVATION")</f>
        <v>WOLEVATION</v>
      </c>
      <c r="C258" s="59" t="str">
        <f>IFERROR(__xludf.DUMMYFUNCTION("""COMPUTED_VALUE"""),"BRIGHT")</f>
        <v>BRIGHT</v>
      </c>
      <c r="D258" s="59">
        <f>IFERROR(__xludf.DUMMYFUNCTION("""COMPUTED_VALUE"""),3.0)</f>
        <v>3</v>
      </c>
      <c r="E258" s="59">
        <f>IFERROR(__xludf.DUMMYFUNCTION("""COMPUTED_VALUE"""),6.0)</f>
        <v>6</v>
      </c>
      <c r="F258" s="59">
        <f>IFERROR(__xludf.DUMMYFUNCTION("""COMPUTED_VALUE"""),0.0)</f>
        <v>0</v>
      </c>
      <c r="G258" s="59">
        <f>IFERROR(__xludf.DUMMYFUNCTION("""COMPUTED_VALUE"""),0.0)</f>
        <v>0</v>
      </c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>
      <c r="A259" s="84">
        <f>IFERROR(__xludf.DUMMYFUNCTION("""COMPUTED_VALUE"""),46061.0)</f>
        <v>46061</v>
      </c>
      <c r="B259" s="59" t="str">
        <f>IFERROR(__xludf.DUMMYFUNCTION("""COMPUTED_VALUE"""),"YEMOLEE")</f>
        <v>YEMOLEE</v>
      </c>
      <c r="C259" s="59" t="str">
        <f>IFERROR(__xludf.DUMMYFUNCTION("""COMPUTED_VALUE"""),"MR OGA")</f>
        <v>MR OGA</v>
      </c>
      <c r="D259" s="59">
        <f>IFERROR(__xludf.DUMMYFUNCTION("""COMPUTED_VALUE"""),5.0)</f>
        <v>5</v>
      </c>
      <c r="E259" s="59">
        <f>IFERROR(__xludf.DUMMYFUNCTION("""COMPUTED_VALUE"""),6.0)</f>
        <v>6</v>
      </c>
      <c r="F259" s="59">
        <f>IFERROR(__xludf.DUMMYFUNCTION("""COMPUTED_VALUE"""),0.0)</f>
        <v>0</v>
      </c>
      <c r="G259" s="59">
        <f>IFERROR(__xludf.DUMMYFUNCTION("""COMPUTED_VALUE"""),0.0)</f>
        <v>0</v>
      </c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>
      <c r="A260" s="84">
        <f>IFERROR(__xludf.DUMMYFUNCTION("""COMPUTED_VALUE"""),46061.0)</f>
        <v>46061</v>
      </c>
      <c r="B260" s="59" t="str">
        <f>IFERROR(__xludf.DUMMYFUNCTION("""COMPUTED_VALUE"""),"FLICK")</f>
        <v>FLICK</v>
      </c>
      <c r="C260" s="59" t="str">
        <f>IFERROR(__xludf.DUMMYFUNCTION("""COMPUTED_VALUE"""),"BLAISE99")</f>
        <v>BLAISE99</v>
      </c>
      <c r="D260" s="59">
        <f>IFERROR(__xludf.DUMMYFUNCTION("""COMPUTED_VALUE"""),8.0)</f>
        <v>8</v>
      </c>
      <c r="E260" s="59">
        <f>IFERROR(__xludf.DUMMYFUNCTION("""COMPUTED_VALUE"""),4.0)</f>
        <v>4</v>
      </c>
      <c r="F260" s="59">
        <f>IFERROR(__xludf.DUMMYFUNCTION("""COMPUTED_VALUE"""),1.0)</f>
        <v>1</v>
      </c>
      <c r="G260" s="59">
        <f>IFERROR(__xludf.DUMMYFUNCTION("""COMPUTED_VALUE"""),3.0)</f>
        <v>3</v>
      </c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>
      <c r="A261" s="84">
        <f>IFERROR(__xludf.DUMMYFUNCTION("""COMPUTED_VALUE"""),46061.0)</f>
        <v>46061</v>
      </c>
      <c r="B261" s="59" t="str">
        <f>IFERROR(__xludf.DUMMYFUNCTION("""COMPUTED_VALUE"""),"KHALEEDOY")</f>
        <v>KHALEEDOY</v>
      </c>
      <c r="C261" s="59" t="str">
        <f>IFERROR(__xludf.DUMMYFUNCTION("""COMPUTED_VALUE"""),"GAMEWITHJOSH")</f>
        <v>GAMEWITHJOSH</v>
      </c>
      <c r="D261" s="59">
        <f>IFERROR(__xludf.DUMMYFUNCTION("""COMPUTED_VALUE"""),7.0)</f>
        <v>7</v>
      </c>
      <c r="E261" s="59">
        <f>IFERROR(__xludf.DUMMYFUNCTION("""COMPUTED_VALUE"""),5.0)</f>
        <v>5</v>
      </c>
      <c r="F261" s="59">
        <f>IFERROR(__xludf.DUMMYFUNCTION("""COMPUTED_VALUE"""),1.0)</f>
        <v>1</v>
      </c>
      <c r="G261" s="59">
        <f>IFERROR(__xludf.DUMMYFUNCTION("""COMPUTED_VALUE"""),3.0)</f>
        <v>3</v>
      </c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>
      <c r="A262" s="84">
        <f>IFERROR(__xludf.DUMMYFUNCTION("""COMPUTED_VALUE"""),46061.0)</f>
        <v>46061</v>
      </c>
      <c r="B262" s="59" t="str">
        <f>IFERROR(__xludf.DUMMYFUNCTION("""COMPUTED_VALUE"""),"SIMPLYY UZO")</f>
        <v>SIMPLYY UZO</v>
      </c>
      <c r="C262" s="59" t="str">
        <f>IFERROR(__xludf.DUMMYFUNCTION("""COMPUTED_VALUE"""),"GURU")</f>
        <v>GURU</v>
      </c>
      <c r="D262" s="59">
        <f>IFERROR(__xludf.DUMMYFUNCTION("""COMPUTED_VALUE"""),6.0)</f>
        <v>6</v>
      </c>
      <c r="E262" s="59">
        <f>IFERROR(__xludf.DUMMYFUNCTION("""COMPUTED_VALUE"""),6.0)</f>
        <v>6</v>
      </c>
      <c r="F262" s="59">
        <f>IFERROR(__xludf.DUMMYFUNCTION("""COMPUTED_VALUE"""),0.0)</f>
        <v>0</v>
      </c>
      <c r="G262" s="59">
        <f>IFERROR(__xludf.DUMMYFUNCTION("""COMPUTED_VALUE"""),1.0)</f>
        <v>1</v>
      </c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>
      <c r="A263" s="84">
        <f>IFERROR(__xludf.DUMMYFUNCTION("""COMPUTED_VALUE"""),46061.0)</f>
        <v>46061</v>
      </c>
      <c r="B263" s="59" t="str">
        <f>IFERROR(__xludf.DUMMYFUNCTION("""COMPUTED_VALUE"""),"SON OF GOD")</f>
        <v>SON OF GOD</v>
      </c>
      <c r="C263" s="59" t="str">
        <f>IFERROR(__xludf.DUMMYFUNCTION("""COMPUTED_VALUE"""),"BRIGHT")</f>
        <v>BRIGHT</v>
      </c>
      <c r="D263" s="59">
        <f>IFERROR(__xludf.DUMMYFUNCTION("""COMPUTED_VALUE"""),7.0)</f>
        <v>7</v>
      </c>
      <c r="E263" s="59">
        <f>IFERROR(__xludf.DUMMYFUNCTION("""COMPUTED_VALUE"""),7.0)</f>
        <v>7</v>
      </c>
      <c r="F263" s="59">
        <f>IFERROR(__xludf.DUMMYFUNCTION("""COMPUTED_VALUE"""),0.0)</f>
        <v>0</v>
      </c>
      <c r="G263" s="59">
        <f>IFERROR(__xludf.DUMMYFUNCTION("""COMPUTED_VALUE"""),1.0)</f>
        <v>1</v>
      </c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>
      <c r="A264" s="84">
        <f>IFERROR(__xludf.DUMMYFUNCTION("""COMPUTED_VALUE"""),46061.0)</f>
        <v>46061</v>
      </c>
      <c r="B264" s="59" t="str">
        <f>IFERROR(__xludf.DUMMYFUNCTION("""COMPUTED_VALUE"""),"DRACARYS")</f>
        <v>DRACARYS</v>
      </c>
      <c r="C264" s="59" t="str">
        <f>IFERROR(__xludf.DUMMYFUNCTION("""COMPUTED_VALUE"""),"ANIFE")</f>
        <v>ANIFE</v>
      </c>
      <c r="D264" s="59">
        <f>IFERROR(__xludf.DUMMYFUNCTION("""COMPUTED_VALUE"""),7.0)</f>
        <v>7</v>
      </c>
      <c r="E264" s="59">
        <f>IFERROR(__xludf.DUMMYFUNCTION("""COMPUTED_VALUE"""),5.0)</f>
        <v>5</v>
      </c>
      <c r="F264" s="59">
        <f>IFERROR(__xludf.DUMMYFUNCTION("""COMPUTED_VALUE"""),1.0)</f>
        <v>1</v>
      </c>
      <c r="G264" s="59">
        <f>IFERROR(__xludf.DUMMYFUNCTION("""COMPUTED_VALUE"""),3.0)</f>
        <v>3</v>
      </c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>
      <c r="A265" s="84">
        <f>IFERROR(__xludf.DUMMYFUNCTION("""COMPUTED_VALUE"""),46061.0)</f>
        <v>46061</v>
      </c>
      <c r="B265" s="59" t="str">
        <f>IFERROR(__xludf.DUMMYFUNCTION("""COMPUTED_VALUE"""),"RHYMEZ")</f>
        <v>RHYMEZ</v>
      </c>
      <c r="C265" s="59" t="str">
        <f>IFERROR(__xludf.DUMMYFUNCTION("""COMPUTED_VALUE"""),"KINGNONEX")</f>
        <v>KINGNONEX</v>
      </c>
      <c r="D265" s="59">
        <f>IFERROR(__xludf.DUMMYFUNCTION("""COMPUTED_VALUE"""),2.0)</f>
        <v>2</v>
      </c>
      <c r="E265" s="59">
        <f>IFERROR(__xludf.DUMMYFUNCTION("""COMPUTED_VALUE"""),2.0)</f>
        <v>2</v>
      </c>
      <c r="F265" s="59">
        <f>IFERROR(__xludf.DUMMYFUNCTION("""COMPUTED_VALUE"""),0.0)</f>
        <v>0</v>
      </c>
      <c r="G265" s="59">
        <f>IFERROR(__xludf.DUMMYFUNCTION("""COMPUTED_VALUE"""),1.0)</f>
        <v>1</v>
      </c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>
      <c r="A266" s="84">
        <f>IFERROR(__xludf.DUMMYFUNCTION("""COMPUTED_VALUE"""),46061.0)</f>
        <v>46061</v>
      </c>
      <c r="B266" s="59" t="str">
        <f>IFERROR(__xludf.DUMMYFUNCTION("""COMPUTED_VALUE"""),"BALO K")</f>
        <v>BALO K</v>
      </c>
      <c r="C266" s="59" t="str">
        <f>IFERROR(__xludf.DUMMYFUNCTION("""COMPUTED_VALUE"""),"BRIGHT")</f>
        <v>BRIGHT</v>
      </c>
      <c r="D266" s="59">
        <f>IFERROR(__xludf.DUMMYFUNCTION("""COMPUTED_VALUE"""),1.0)</f>
        <v>1</v>
      </c>
      <c r="E266" s="59">
        <f>IFERROR(__xludf.DUMMYFUNCTION("""COMPUTED_VALUE"""),4.0)</f>
        <v>4</v>
      </c>
      <c r="F266" s="59">
        <f>IFERROR(__xludf.DUMMYFUNCTION("""COMPUTED_VALUE"""),0.0)</f>
        <v>0</v>
      </c>
      <c r="G266" s="59">
        <f>IFERROR(__xludf.DUMMYFUNCTION("""COMPUTED_VALUE"""),0.0)</f>
        <v>0</v>
      </c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>
      <c r="A267" s="84">
        <f>IFERROR(__xludf.DUMMYFUNCTION("""COMPUTED_VALUE"""),46061.0)</f>
        <v>46061</v>
      </c>
      <c r="B267" s="59" t="str">
        <f>IFERROR(__xludf.DUMMYFUNCTION("""COMPUTED_VALUE"""),"BAJI SNR")</f>
        <v>BAJI SNR</v>
      </c>
      <c r="C267" s="59" t="str">
        <f>IFERROR(__xludf.DUMMYFUNCTION("""COMPUTED_VALUE"""),"GAMEWITHJOSH")</f>
        <v>GAMEWITHJOSH</v>
      </c>
      <c r="D267" s="59">
        <f>IFERROR(__xludf.DUMMYFUNCTION("""COMPUTED_VALUE"""),3.0)</f>
        <v>3</v>
      </c>
      <c r="E267" s="59">
        <f>IFERROR(__xludf.DUMMYFUNCTION("""COMPUTED_VALUE"""),4.0)</f>
        <v>4</v>
      </c>
      <c r="F267" s="59">
        <f>IFERROR(__xludf.DUMMYFUNCTION("""COMPUTED_VALUE"""),0.0)</f>
        <v>0</v>
      </c>
      <c r="G267" s="59">
        <f>IFERROR(__xludf.DUMMYFUNCTION("""COMPUTED_VALUE"""),0.0)</f>
        <v>0</v>
      </c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>
      <c r="A268" s="84">
        <f>IFERROR(__xludf.DUMMYFUNCTION("""COMPUTED_VALUE"""),46061.0)</f>
        <v>46061</v>
      </c>
      <c r="B268" s="59" t="str">
        <f>IFERROR(__xludf.DUMMYFUNCTION("""COMPUTED_VALUE"""),"BLAISE99")</f>
        <v>BLAISE99</v>
      </c>
      <c r="C268" s="59" t="str">
        <f>IFERROR(__xludf.DUMMYFUNCTION("""COMPUTED_VALUE"""),"DRACARYS")</f>
        <v>DRACARYS</v>
      </c>
      <c r="D268" s="59">
        <f>IFERROR(__xludf.DUMMYFUNCTION("""COMPUTED_VALUE"""),3.0)</f>
        <v>3</v>
      </c>
      <c r="E268" s="59">
        <f>IFERROR(__xludf.DUMMYFUNCTION("""COMPUTED_VALUE"""),6.0)</f>
        <v>6</v>
      </c>
      <c r="F268" s="59">
        <f>IFERROR(__xludf.DUMMYFUNCTION("""COMPUTED_VALUE"""),0.0)</f>
        <v>0</v>
      </c>
      <c r="G268" s="59">
        <f>IFERROR(__xludf.DUMMYFUNCTION("""COMPUTED_VALUE"""),0.0)</f>
        <v>0</v>
      </c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>
      <c r="A269" s="84">
        <f>IFERROR(__xludf.DUMMYFUNCTION("""COMPUTED_VALUE"""),46061.0)</f>
        <v>46061</v>
      </c>
      <c r="B269" s="59" t="str">
        <f>IFERROR(__xludf.DUMMYFUNCTION("""COMPUTED_VALUE"""),"GURU")</f>
        <v>GURU</v>
      </c>
      <c r="C269" s="59" t="str">
        <f>IFERROR(__xludf.DUMMYFUNCTION("""COMPUTED_VALUE"""),"KINGNONEX")</f>
        <v>KINGNONEX</v>
      </c>
      <c r="D269" s="59">
        <f>IFERROR(__xludf.DUMMYFUNCTION("""COMPUTED_VALUE"""),5.0)</f>
        <v>5</v>
      </c>
      <c r="E269" s="59">
        <f>IFERROR(__xludf.DUMMYFUNCTION("""COMPUTED_VALUE"""),5.0)</f>
        <v>5</v>
      </c>
      <c r="F269" s="59">
        <f>IFERROR(__xludf.DUMMYFUNCTION("""COMPUTED_VALUE"""),0.0)</f>
        <v>0</v>
      </c>
      <c r="G269" s="59">
        <f>IFERROR(__xludf.DUMMYFUNCTION("""COMPUTED_VALUE"""),1.0)</f>
        <v>1</v>
      </c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>
      <c r="A270" s="84">
        <f>IFERROR(__xludf.DUMMYFUNCTION("""COMPUTED_VALUE"""),46061.0)</f>
        <v>46061</v>
      </c>
      <c r="B270" s="59" t="str">
        <f>IFERROR(__xludf.DUMMYFUNCTION("""COMPUTED_VALUE"""),"BALO K")</f>
        <v>BALO K</v>
      </c>
      <c r="C270" s="59" t="str">
        <f>IFERROR(__xludf.DUMMYFUNCTION("""COMPUTED_VALUE"""),"BAJI SNR")</f>
        <v>BAJI SNR</v>
      </c>
      <c r="D270" s="59">
        <f>IFERROR(__xludf.DUMMYFUNCTION("""COMPUTED_VALUE"""),3.0)</f>
        <v>3</v>
      </c>
      <c r="E270" s="59">
        <f>IFERROR(__xludf.DUMMYFUNCTION("""COMPUTED_VALUE"""),2.0)</f>
        <v>2</v>
      </c>
      <c r="F270" s="59">
        <f>IFERROR(__xludf.DUMMYFUNCTION("""COMPUTED_VALUE"""),1.0)</f>
        <v>1</v>
      </c>
      <c r="G270" s="59">
        <f>IFERROR(__xludf.DUMMYFUNCTION("""COMPUTED_VALUE"""),3.0)</f>
        <v>3</v>
      </c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>
      <c r="A271" s="84">
        <f>IFERROR(__xludf.DUMMYFUNCTION("""COMPUTED_VALUE"""),46061.0)</f>
        <v>46061</v>
      </c>
      <c r="B271" s="59" t="str">
        <f>IFERROR(__xludf.DUMMYFUNCTION("""COMPUTED_VALUE"""),"RHYMEZ")</f>
        <v>RHYMEZ</v>
      </c>
      <c r="C271" s="59" t="str">
        <f>IFERROR(__xludf.DUMMYFUNCTION("""COMPUTED_VALUE"""),"WOLEVATION")</f>
        <v>WOLEVATION</v>
      </c>
      <c r="D271" s="59">
        <f>IFERROR(__xludf.DUMMYFUNCTION("""COMPUTED_VALUE"""),3.0)</f>
        <v>3</v>
      </c>
      <c r="E271" s="59">
        <f>IFERROR(__xludf.DUMMYFUNCTION("""COMPUTED_VALUE"""),4.0)</f>
        <v>4</v>
      </c>
      <c r="F271" s="59">
        <f>IFERROR(__xludf.DUMMYFUNCTION("""COMPUTED_VALUE"""),0.0)</f>
        <v>0</v>
      </c>
      <c r="G271" s="59">
        <f>IFERROR(__xludf.DUMMYFUNCTION("""COMPUTED_VALUE"""),0.0)</f>
        <v>0</v>
      </c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>
      <c r="A272" s="84">
        <f>IFERROR(__xludf.DUMMYFUNCTION("""COMPUTED_VALUE"""),46061.0)</f>
        <v>46061</v>
      </c>
      <c r="B272" s="59" t="str">
        <f>IFERROR(__xludf.DUMMYFUNCTION("""COMPUTED_VALUE"""),"TACTICAL")</f>
        <v>TACTICAL</v>
      </c>
      <c r="C272" s="59" t="str">
        <f>IFERROR(__xludf.DUMMYFUNCTION("""COMPUTED_VALUE"""),"MR OGA")</f>
        <v>MR OGA</v>
      </c>
      <c r="D272" s="59">
        <f>IFERROR(__xludf.DUMMYFUNCTION("""COMPUTED_VALUE"""),4.0)</f>
        <v>4</v>
      </c>
      <c r="E272" s="59">
        <f>IFERROR(__xludf.DUMMYFUNCTION("""COMPUTED_VALUE"""),6.0)</f>
        <v>6</v>
      </c>
      <c r="F272" s="59">
        <f>IFERROR(__xludf.DUMMYFUNCTION("""COMPUTED_VALUE"""),0.0)</f>
        <v>0</v>
      </c>
      <c r="G272" s="59">
        <f>IFERROR(__xludf.DUMMYFUNCTION("""COMPUTED_VALUE"""),0.0)</f>
        <v>0</v>
      </c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>
      <c r="A273" s="84">
        <f>IFERROR(__xludf.DUMMYFUNCTION("""COMPUTED_VALUE"""),46061.0)</f>
        <v>46061</v>
      </c>
      <c r="B273" s="59" t="str">
        <f>IFERROR(__xludf.DUMMYFUNCTION("""COMPUTED_VALUE"""),"FLICK")</f>
        <v>FLICK</v>
      </c>
      <c r="C273" s="59" t="str">
        <f>IFERROR(__xludf.DUMMYFUNCTION("""COMPUTED_VALUE"""),"ANIFE")</f>
        <v>ANIFE</v>
      </c>
      <c r="D273" s="59">
        <f>IFERROR(__xludf.DUMMYFUNCTION("""COMPUTED_VALUE"""),2.0)</f>
        <v>2</v>
      </c>
      <c r="E273" s="59">
        <f>IFERROR(__xludf.DUMMYFUNCTION("""COMPUTED_VALUE"""),16.0)</f>
        <v>16</v>
      </c>
      <c r="F273" s="59">
        <f>IFERROR(__xludf.DUMMYFUNCTION("""COMPUTED_VALUE"""),0.0)</f>
        <v>0</v>
      </c>
      <c r="G273" s="59">
        <f>IFERROR(__xludf.DUMMYFUNCTION("""COMPUTED_VALUE"""),0.0)</f>
        <v>0</v>
      </c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>
      <c r="A274" s="84">
        <f>IFERROR(__xludf.DUMMYFUNCTION("""COMPUTED_VALUE"""),46061.0)</f>
        <v>46061</v>
      </c>
      <c r="B274" s="59" t="str">
        <f>IFERROR(__xludf.DUMMYFUNCTION("""COMPUTED_VALUE"""),"SIMPLYY UZO")</f>
        <v>SIMPLYY UZO</v>
      </c>
      <c r="C274" s="59" t="str">
        <f>IFERROR(__xludf.DUMMYFUNCTION("""COMPUTED_VALUE"""),"KHALEEDOY")</f>
        <v>KHALEEDOY</v>
      </c>
      <c r="D274" s="59">
        <f>IFERROR(__xludf.DUMMYFUNCTION("""COMPUTED_VALUE"""),9.0)</f>
        <v>9</v>
      </c>
      <c r="E274" s="59">
        <f>IFERROR(__xludf.DUMMYFUNCTION("""COMPUTED_VALUE"""),7.0)</f>
        <v>7</v>
      </c>
      <c r="F274" s="59">
        <f>IFERROR(__xludf.DUMMYFUNCTION("""COMPUTED_VALUE"""),1.0)</f>
        <v>1</v>
      </c>
      <c r="G274" s="59">
        <f>IFERROR(__xludf.DUMMYFUNCTION("""COMPUTED_VALUE"""),3.0)</f>
        <v>3</v>
      </c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>
      <c r="A275" s="84">
        <f>IFERROR(__xludf.DUMMYFUNCTION("""COMPUTED_VALUE"""),46062.0)</f>
        <v>46062</v>
      </c>
      <c r="B275" s="59" t="str">
        <f>IFERROR(__xludf.DUMMYFUNCTION("""COMPUTED_VALUE"""),"ANIFE")</f>
        <v>ANIFE</v>
      </c>
      <c r="C275" s="59" t="str">
        <f>IFERROR(__xludf.DUMMYFUNCTION("""COMPUTED_VALUE"""),"KINGNONEX")</f>
        <v>KINGNONEX</v>
      </c>
      <c r="D275" s="59">
        <f>IFERROR(__xludf.DUMMYFUNCTION("""COMPUTED_VALUE"""),2.0)</f>
        <v>2</v>
      </c>
      <c r="E275" s="59">
        <f>IFERROR(__xludf.DUMMYFUNCTION("""COMPUTED_VALUE"""),3.0)</f>
        <v>3</v>
      </c>
      <c r="F275" s="59">
        <f>IFERROR(__xludf.DUMMYFUNCTION("""COMPUTED_VALUE"""),0.0)</f>
        <v>0</v>
      </c>
      <c r="G275" s="59">
        <f>IFERROR(__xludf.DUMMYFUNCTION("""COMPUTED_VALUE"""),0.0)</f>
        <v>0</v>
      </c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>
      <c r="A276" s="84">
        <f>IFERROR(__xludf.DUMMYFUNCTION("""COMPUTED_VALUE"""),46062.0)</f>
        <v>46062</v>
      </c>
      <c r="B276" s="59" t="str">
        <f>IFERROR(__xludf.DUMMYFUNCTION("""COMPUTED_VALUE"""),"SIMPLYY UZO")</f>
        <v>SIMPLYY UZO</v>
      </c>
      <c r="C276" s="59" t="str">
        <f>IFERROR(__xludf.DUMMYFUNCTION("""COMPUTED_VALUE"""),"BALO K")</f>
        <v>BALO K</v>
      </c>
      <c r="D276" s="59">
        <f>IFERROR(__xludf.DUMMYFUNCTION("""COMPUTED_VALUE"""),8.0)</f>
        <v>8</v>
      </c>
      <c r="E276" s="59">
        <f>IFERROR(__xludf.DUMMYFUNCTION("""COMPUTED_VALUE"""),9.0)</f>
        <v>9</v>
      </c>
      <c r="F276" s="59">
        <f>IFERROR(__xludf.DUMMYFUNCTION("""COMPUTED_VALUE"""),0.0)</f>
        <v>0</v>
      </c>
      <c r="G276" s="59">
        <f>IFERROR(__xludf.DUMMYFUNCTION("""COMPUTED_VALUE"""),0.0)</f>
        <v>0</v>
      </c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>
      <c r="A277" s="84">
        <f>IFERROR(__xludf.DUMMYFUNCTION("""COMPUTED_VALUE"""),46062.0)</f>
        <v>46062</v>
      </c>
      <c r="B277" s="59" t="str">
        <f>IFERROR(__xludf.DUMMYFUNCTION("""COMPUTED_VALUE"""),"BRIGHT")</f>
        <v>BRIGHT</v>
      </c>
      <c r="C277" s="59" t="str">
        <f>IFERROR(__xludf.DUMMYFUNCTION("""COMPUTED_VALUE"""),"GURU")</f>
        <v>GURU</v>
      </c>
      <c r="D277" s="59">
        <f>IFERROR(__xludf.DUMMYFUNCTION("""COMPUTED_VALUE"""),6.0)</f>
        <v>6</v>
      </c>
      <c r="E277" s="59">
        <f>IFERROR(__xludf.DUMMYFUNCTION("""COMPUTED_VALUE"""),6.0)</f>
        <v>6</v>
      </c>
      <c r="F277" s="59">
        <f>IFERROR(__xludf.DUMMYFUNCTION("""COMPUTED_VALUE"""),0.0)</f>
        <v>0</v>
      </c>
      <c r="G277" s="59">
        <f>IFERROR(__xludf.DUMMYFUNCTION("""COMPUTED_VALUE"""),1.0)</f>
        <v>1</v>
      </c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>
      <c r="A278" s="84">
        <f>IFERROR(__xludf.DUMMYFUNCTION("""COMPUTED_VALUE"""),46062.0)</f>
        <v>46062</v>
      </c>
      <c r="B278" s="59" t="str">
        <f>IFERROR(__xludf.DUMMYFUNCTION("""COMPUTED_VALUE"""),"DADABOI")</f>
        <v>DADABOI</v>
      </c>
      <c r="C278" s="59" t="str">
        <f>IFERROR(__xludf.DUMMYFUNCTION("""COMPUTED_VALUE"""),"DRACARYS")</f>
        <v>DRACARYS</v>
      </c>
      <c r="D278" s="59">
        <f>IFERROR(__xludf.DUMMYFUNCTION("""COMPUTED_VALUE"""),3.0)</f>
        <v>3</v>
      </c>
      <c r="E278" s="59">
        <f>IFERROR(__xludf.DUMMYFUNCTION("""COMPUTED_VALUE"""),3.0)</f>
        <v>3</v>
      </c>
      <c r="F278" s="59">
        <f>IFERROR(__xludf.DUMMYFUNCTION("""COMPUTED_VALUE"""),0.0)</f>
        <v>0</v>
      </c>
      <c r="G278" s="59">
        <f>IFERROR(__xludf.DUMMYFUNCTION("""COMPUTED_VALUE"""),1.0)</f>
        <v>1</v>
      </c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>
      <c r="A279" s="84">
        <f>IFERROR(__xludf.DUMMYFUNCTION("""COMPUTED_VALUE"""),46062.0)</f>
        <v>46062</v>
      </c>
      <c r="B279" s="59" t="str">
        <f>IFERROR(__xludf.DUMMYFUNCTION("""COMPUTED_VALUE"""),"KAYKAY")</f>
        <v>KAYKAY</v>
      </c>
      <c r="C279" s="59" t="str">
        <f>IFERROR(__xludf.DUMMYFUNCTION("""COMPUTED_VALUE"""),"SON OF GOD")</f>
        <v>SON OF GOD</v>
      </c>
      <c r="D279" s="59">
        <f>IFERROR(__xludf.DUMMYFUNCTION("""COMPUTED_VALUE"""),13.0)</f>
        <v>13</v>
      </c>
      <c r="E279" s="59">
        <f>IFERROR(__xludf.DUMMYFUNCTION("""COMPUTED_VALUE"""),5.0)</f>
        <v>5</v>
      </c>
      <c r="F279" s="59">
        <f>IFERROR(__xludf.DUMMYFUNCTION("""COMPUTED_VALUE"""),1.0)</f>
        <v>1</v>
      </c>
      <c r="G279" s="59">
        <f>IFERROR(__xludf.DUMMYFUNCTION("""COMPUTED_VALUE"""),3.0)</f>
        <v>3</v>
      </c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>
      <c r="A280" s="84">
        <f>IFERROR(__xludf.DUMMYFUNCTION("""COMPUTED_VALUE"""),46062.0)</f>
        <v>46062</v>
      </c>
      <c r="B280" s="59" t="str">
        <f>IFERROR(__xludf.DUMMYFUNCTION("""COMPUTED_VALUE"""),"MR OGA")</f>
        <v>MR OGA</v>
      </c>
      <c r="C280" s="59" t="str">
        <f>IFERROR(__xludf.DUMMYFUNCTION("""COMPUTED_VALUE"""),"FLICK")</f>
        <v>FLICK</v>
      </c>
      <c r="D280" s="59">
        <f>IFERROR(__xludf.DUMMYFUNCTION("""COMPUTED_VALUE"""),8.0)</f>
        <v>8</v>
      </c>
      <c r="E280" s="59">
        <f>IFERROR(__xludf.DUMMYFUNCTION("""COMPUTED_VALUE"""),1.0)</f>
        <v>1</v>
      </c>
      <c r="F280" s="59">
        <f>IFERROR(__xludf.DUMMYFUNCTION("""COMPUTED_VALUE"""),1.0)</f>
        <v>1</v>
      </c>
      <c r="G280" s="59">
        <f>IFERROR(__xludf.DUMMYFUNCTION("""COMPUTED_VALUE"""),3.0)</f>
        <v>3</v>
      </c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>
      <c r="A281" s="84">
        <f>IFERROR(__xludf.DUMMYFUNCTION("""COMPUTED_VALUE"""),46062.0)</f>
        <v>46062</v>
      </c>
      <c r="B281" s="59" t="str">
        <f>IFERROR(__xludf.DUMMYFUNCTION("""COMPUTED_VALUE"""),"ANIFE")</f>
        <v>ANIFE</v>
      </c>
      <c r="C281" s="59" t="str">
        <f>IFERROR(__xludf.DUMMYFUNCTION("""COMPUTED_VALUE"""),"TACTICAL")</f>
        <v>TACTICAL</v>
      </c>
      <c r="D281" s="59">
        <f>IFERROR(__xludf.DUMMYFUNCTION("""COMPUTED_VALUE"""),4.0)</f>
        <v>4</v>
      </c>
      <c r="E281" s="59">
        <f>IFERROR(__xludf.DUMMYFUNCTION("""COMPUTED_VALUE"""),5.0)</f>
        <v>5</v>
      </c>
      <c r="F281" s="59">
        <f>IFERROR(__xludf.DUMMYFUNCTION("""COMPUTED_VALUE"""),0.0)</f>
        <v>0</v>
      </c>
      <c r="G281" s="59">
        <f>IFERROR(__xludf.DUMMYFUNCTION("""COMPUTED_VALUE"""),0.0)</f>
        <v>0</v>
      </c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>
      <c r="A282" s="84">
        <f>IFERROR(__xludf.DUMMYFUNCTION("""COMPUTED_VALUE"""),46062.0)</f>
        <v>46062</v>
      </c>
      <c r="B282" s="59" t="str">
        <f>IFERROR(__xludf.DUMMYFUNCTION("""COMPUTED_VALUE"""),"KHALEEDOY")</f>
        <v>KHALEEDOY</v>
      </c>
      <c r="C282" s="59" t="str">
        <f>IFERROR(__xludf.DUMMYFUNCTION("""COMPUTED_VALUE"""),"BAJI SNR")</f>
        <v>BAJI SNR</v>
      </c>
      <c r="D282" s="59">
        <f>IFERROR(__xludf.DUMMYFUNCTION("""COMPUTED_VALUE"""),10.0)</f>
        <v>10</v>
      </c>
      <c r="E282" s="59">
        <f>IFERROR(__xludf.DUMMYFUNCTION("""COMPUTED_VALUE"""),5.0)</f>
        <v>5</v>
      </c>
      <c r="F282" s="59">
        <f>IFERROR(__xludf.DUMMYFUNCTION("""COMPUTED_VALUE"""),1.0)</f>
        <v>1</v>
      </c>
      <c r="G282" s="59">
        <f>IFERROR(__xludf.DUMMYFUNCTION("""COMPUTED_VALUE"""),3.0)</f>
        <v>3</v>
      </c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>
      <c r="A283" s="84">
        <f>IFERROR(__xludf.DUMMYFUNCTION("""COMPUTED_VALUE"""),46062.0)</f>
        <v>46062</v>
      </c>
      <c r="B283" s="59" t="str">
        <f>IFERROR(__xludf.DUMMYFUNCTION("""COMPUTED_VALUE"""),"SON OF GOD")</f>
        <v>SON OF GOD</v>
      </c>
      <c r="C283" s="59" t="str">
        <f>IFERROR(__xludf.DUMMYFUNCTION("""COMPUTED_VALUE"""),"BLAISE99")</f>
        <v>BLAISE99</v>
      </c>
      <c r="D283" s="59">
        <f>IFERROR(__xludf.DUMMYFUNCTION("""COMPUTED_VALUE"""),3.0)</f>
        <v>3</v>
      </c>
      <c r="E283" s="59">
        <f>IFERROR(__xludf.DUMMYFUNCTION("""COMPUTED_VALUE"""),0.0)</f>
        <v>0</v>
      </c>
      <c r="F283" s="59">
        <f>IFERROR(__xludf.DUMMYFUNCTION("""COMPUTED_VALUE"""),1.0)</f>
        <v>1</v>
      </c>
      <c r="G283" s="59">
        <f>IFERROR(__xludf.DUMMYFUNCTION("""COMPUTED_VALUE"""),3.0)</f>
        <v>3</v>
      </c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>
      <c r="A284" s="84">
        <f>IFERROR(__xludf.DUMMYFUNCTION("""COMPUTED_VALUE"""),46062.0)</f>
        <v>46062</v>
      </c>
      <c r="B284" s="59" t="str">
        <f>IFERROR(__xludf.DUMMYFUNCTION("""COMPUTED_VALUE"""),"GAMEWITHJOSH")</f>
        <v>GAMEWITHJOSH</v>
      </c>
      <c r="C284" s="59" t="str">
        <f>IFERROR(__xludf.DUMMYFUNCTION("""COMPUTED_VALUE"""),"TACTICAL")</f>
        <v>TACTICAL</v>
      </c>
      <c r="D284" s="59">
        <f>IFERROR(__xludf.DUMMYFUNCTION("""COMPUTED_VALUE"""),8.0)</f>
        <v>8</v>
      </c>
      <c r="E284" s="59">
        <f>IFERROR(__xludf.DUMMYFUNCTION("""COMPUTED_VALUE"""),8.0)</f>
        <v>8</v>
      </c>
      <c r="F284" s="59">
        <f>IFERROR(__xludf.DUMMYFUNCTION("""COMPUTED_VALUE"""),0.0)</f>
        <v>0</v>
      </c>
      <c r="G284" s="59">
        <f>IFERROR(__xludf.DUMMYFUNCTION("""COMPUTED_VALUE"""),1.0)</f>
        <v>1</v>
      </c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>
      <c r="A285" s="84">
        <f>IFERROR(__xludf.DUMMYFUNCTION("""COMPUTED_VALUE"""),46062.0)</f>
        <v>46062</v>
      </c>
      <c r="B285" s="59" t="str">
        <f>IFERROR(__xludf.DUMMYFUNCTION("""COMPUTED_VALUE"""),"BAJI SNR")</f>
        <v>BAJI SNR</v>
      </c>
      <c r="C285" s="59" t="str">
        <f>IFERROR(__xludf.DUMMYFUNCTION("""COMPUTED_VALUE"""),"KINGNONEX")</f>
        <v>KINGNONEX</v>
      </c>
      <c r="D285" s="59">
        <f>IFERROR(__xludf.DUMMYFUNCTION("""COMPUTED_VALUE"""),1.0)</f>
        <v>1</v>
      </c>
      <c r="E285" s="59">
        <f>IFERROR(__xludf.DUMMYFUNCTION("""COMPUTED_VALUE"""),4.0)</f>
        <v>4</v>
      </c>
      <c r="F285" s="59">
        <f>IFERROR(__xludf.DUMMYFUNCTION("""COMPUTED_VALUE"""),0.0)</f>
        <v>0</v>
      </c>
      <c r="G285" s="59">
        <f>IFERROR(__xludf.DUMMYFUNCTION("""COMPUTED_VALUE"""),0.0)</f>
        <v>0</v>
      </c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>
      <c r="A286" s="84">
        <f>IFERROR(__xludf.DUMMYFUNCTION("""COMPUTED_VALUE"""),46062.0)</f>
        <v>46062</v>
      </c>
      <c r="B286" s="59" t="str">
        <f>IFERROR(__xludf.DUMMYFUNCTION("""COMPUTED_VALUE"""),"RHYMEZ")</f>
        <v>RHYMEZ</v>
      </c>
      <c r="C286" s="59" t="str">
        <f>IFERROR(__xludf.DUMMYFUNCTION("""COMPUTED_VALUE"""),"BALO K")</f>
        <v>BALO K</v>
      </c>
      <c r="D286" s="59">
        <f>IFERROR(__xludf.DUMMYFUNCTION("""COMPUTED_VALUE"""),5.0)</f>
        <v>5</v>
      </c>
      <c r="E286" s="59">
        <f>IFERROR(__xludf.DUMMYFUNCTION("""COMPUTED_VALUE"""),6.0)</f>
        <v>6</v>
      </c>
      <c r="F286" s="59">
        <f>IFERROR(__xludf.DUMMYFUNCTION("""COMPUTED_VALUE"""),0.0)</f>
        <v>0</v>
      </c>
      <c r="G286" s="59">
        <f>IFERROR(__xludf.DUMMYFUNCTION("""COMPUTED_VALUE"""),0.0)</f>
        <v>0</v>
      </c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>
      <c r="A287" s="84">
        <f>IFERROR(__xludf.DUMMYFUNCTION("""COMPUTED_VALUE"""),46069.0)</f>
        <v>46069</v>
      </c>
      <c r="B287" s="59" t="str">
        <f>IFERROR(__xludf.DUMMYFUNCTION("""COMPUTED_VALUE"""),"GURU")</f>
        <v>GURU</v>
      </c>
      <c r="C287" s="59" t="str">
        <f>IFERROR(__xludf.DUMMYFUNCTION("""COMPUTED_VALUE"""),"MR OGA")</f>
        <v>MR OGA</v>
      </c>
      <c r="D287" s="59">
        <f>IFERROR(__xludf.DUMMYFUNCTION("""COMPUTED_VALUE"""),5.0)</f>
        <v>5</v>
      </c>
      <c r="E287" s="59">
        <f>IFERROR(__xludf.DUMMYFUNCTION("""COMPUTED_VALUE"""),5.0)</f>
        <v>5</v>
      </c>
      <c r="F287" s="59">
        <f>IFERROR(__xludf.DUMMYFUNCTION("""COMPUTED_VALUE"""),0.0)</f>
        <v>0</v>
      </c>
      <c r="G287" s="59">
        <f>IFERROR(__xludf.DUMMYFUNCTION("""COMPUTED_VALUE"""),1.0)</f>
        <v>1</v>
      </c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>
      <c r="A288" s="84">
        <f>IFERROR(__xludf.DUMMYFUNCTION("""COMPUTED_VALUE"""),46069.0)</f>
        <v>46069</v>
      </c>
      <c r="B288" s="59" t="str">
        <f>IFERROR(__xludf.DUMMYFUNCTION("""COMPUTED_VALUE"""),"TACTICAL")</f>
        <v>TACTICAL</v>
      </c>
      <c r="C288" s="59" t="str">
        <f>IFERROR(__xludf.DUMMYFUNCTION("""COMPUTED_VALUE"""),"BLAISE99")</f>
        <v>BLAISE99</v>
      </c>
      <c r="D288" s="59">
        <f>IFERROR(__xludf.DUMMYFUNCTION("""COMPUTED_VALUE"""),8.0)</f>
        <v>8</v>
      </c>
      <c r="E288" s="59">
        <f>IFERROR(__xludf.DUMMYFUNCTION("""COMPUTED_VALUE"""),5.0)</f>
        <v>5</v>
      </c>
      <c r="F288" s="59">
        <f>IFERROR(__xludf.DUMMYFUNCTION("""COMPUTED_VALUE"""),1.0)</f>
        <v>1</v>
      </c>
      <c r="G288" s="59">
        <f>IFERROR(__xludf.DUMMYFUNCTION("""COMPUTED_VALUE"""),3.0)</f>
        <v>3</v>
      </c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>
      <c r="A289" s="84">
        <f>IFERROR(__xludf.DUMMYFUNCTION("""COMPUTED_VALUE"""),46069.0)</f>
        <v>46069</v>
      </c>
      <c r="B289" s="59" t="str">
        <f>IFERROR(__xludf.DUMMYFUNCTION("""COMPUTED_VALUE"""),"KHALEEDOY")</f>
        <v>KHALEEDOY</v>
      </c>
      <c r="C289" s="59" t="str">
        <f>IFERROR(__xludf.DUMMYFUNCTION("""COMPUTED_VALUE"""),"RHYMEZ")</f>
        <v>RHYMEZ</v>
      </c>
      <c r="D289" s="59">
        <f>IFERROR(__xludf.DUMMYFUNCTION("""COMPUTED_VALUE"""),4.0)</f>
        <v>4</v>
      </c>
      <c r="E289" s="59">
        <f>IFERROR(__xludf.DUMMYFUNCTION("""COMPUTED_VALUE"""),3.0)</f>
        <v>3</v>
      </c>
      <c r="F289" s="59">
        <f>IFERROR(__xludf.DUMMYFUNCTION("""COMPUTED_VALUE"""),1.0)</f>
        <v>1</v>
      </c>
      <c r="G289" s="59">
        <f>IFERROR(__xludf.DUMMYFUNCTION("""COMPUTED_VALUE"""),3.0)</f>
        <v>3</v>
      </c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>
      <c r="A290" s="84">
        <f>IFERROR(__xludf.DUMMYFUNCTION("""COMPUTED_VALUE"""),46069.0)</f>
        <v>46069</v>
      </c>
      <c r="B290" s="59" t="str">
        <f>IFERROR(__xludf.DUMMYFUNCTION("""COMPUTED_VALUE"""),"WOLEVATION")</f>
        <v>WOLEVATION</v>
      </c>
      <c r="C290" s="59" t="str">
        <f>IFERROR(__xludf.DUMMYFUNCTION("""COMPUTED_VALUE"""),"GAMEWITHJOSH")</f>
        <v>GAMEWITHJOSH</v>
      </c>
      <c r="D290" s="59">
        <f>IFERROR(__xludf.DUMMYFUNCTION("""COMPUTED_VALUE"""),5.0)</f>
        <v>5</v>
      </c>
      <c r="E290" s="59">
        <f>IFERROR(__xludf.DUMMYFUNCTION("""COMPUTED_VALUE"""),6.0)</f>
        <v>6</v>
      </c>
      <c r="F290" s="59">
        <f>IFERROR(__xludf.DUMMYFUNCTION("""COMPUTED_VALUE"""),0.0)</f>
        <v>0</v>
      </c>
      <c r="G290" s="59">
        <f>IFERROR(__xludf.DUMMYFUNCTION("""COMPUTED_VALUE"""),0.0)</f>
        <v>0</v>
      </c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>
      <c r="A291" s="84">
        <f>IFERROR(__xludf.DUMMYFUNCTION("""COMPUTED_VALUE"""),46069.0)</f>
        <v>46069</v>
      </c>
      <c r="B291" s="59" t="str">
        <f>IFERROR(__xludf.DUMMYFUNCTION("""COMPUTED_VALUE"""),"KINGNONEX")</f>
        <v>KINGNONEX</v>
      </c>
      <c r="C291" s="59" t="str">
        <f>IFERROR(__xludf.DUMMYFUNCTION("""COMPUTED_VALUE"""),"KAYKAY")</f>
        <v>KAYKAY</v>
      </c>
      <c r="D291" s="59">
        <f>IFERROR(__xludf.DUMMYFUNCTION("""COMPUTED_VALUE"""),4.0)</f>
        <v>4</v>
      </c>
      <c r="E291" s="59">
        <f>IFERROR(__xludf.DUMMYFUNCTION("""COMPUTED_VALUE"""),4.0)</f>
        <v>4</v>
      </c>
      <c r="F291" s="59">
        <f>IFERROR(__xludf.DUMMYFUNCTION("""COMPUTED_VALUE"""),0.0)</f>
        <v>0</v>
      </c>
      <c r="G291" s="59">
        <f>IFERROR(__xludf.DUMMYFUNCTION("""COMPUTED_VALUE"""),1.0)</f>
        <v>1</v>
      </c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>
      <c r="A292" s="84">
        <f>IFERROR(__xludf.DUMMYFUNCTION("""COMPUTED_VALUE"""),46069.0)</f>
        <v>46069</v>
      </c>
      <c r="B292" s="59" t="str">
        <f>IFERROR(__xludf.DUMMYFUNCTION("""COMPUTED_VALUE"""),"ANIFE")</f>
        <v>ANIFE</v>
      </c>
      <c r="C292" s="59" t="str">
        <f>IFERROR(__xludf.DUMMYFUNCTION("""COMPUTED_VALUE"""),"SON OF GOD")</f>
        <v>SON OF GOD</v>
      </c>
      <c r="D292" s="59">
        <f>IFERROR(__xludf.DUMMYFUNCTION("""COMPUTED_VALUE"""),5.0)</f>
        <v>5</v>
      </c>
      <c r="E292" s="59">
        <f>IFERROR(__xludf.DUMMYFUNCTION("""COMPUTED_VALUE"""),4.0)</f>
        <v>4</v>
      </c>
      <c r="F292" s="59">
        <f>IFERROR(__xludf.DUMMYFUNCTION("""COMPUTED_VALUE"""),1.0)</f>
        <v>1</v>
      </c>
      <c r="G292" s="59">
        <f>IFERROR(__xludf.DUMMYFUNCTION("""COMPUTED_VALUE"""),3.0)</f>
        <v>3</v>
      </c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>
      <c r="A293" s="84">
        <f>IFERROR(__xludf.DUMMYFUNCTION("""COMPUTED_VALUE"""),46069.0)</f>
        <v>46069</v>
      </c>
      <c r="B293" s="59" t="str">
        <f>IFERROR(__xludf.DUMMYFUNCTION("""COMPUTED_VALUE"""),"GURU")</f>
        <v>GURU</v>
      </c>
      <c r="C293" s="59" t="str">
        <f>IFERROR(__xludf.DUMMYFUNCTION("""COMPUTED_VALUE"""),"RHYMEZ")</f>
        <v>RHYMEZ</v>
      </c>
      <c r="D293" s="59">
        <f>IFERROR(__xludf.DUMMYFUNCTION("""COMPUTED_VALUE"""),6.0)</f>
        <v>6</v>
      </c>
      <c r="E293" s="59">
        <f>IFERROR(__xludf.DUMMYFUNCTION("""COMPUTED_VALUE"""),3.0)</f>
        <v>3</v>
      </c>
      <c r="F293" s="59">
        <f>IFERROR(__xludf.DUMMYFUNCTION("""COMPUTED_VALUE"""),1.0)</f>
        <v>1</v>
      </c>
      <c r="G293" s="59">
        <f>IFERROR(__xludf.DUMMYFUNCTION("""COMPUTED_VALUE"""),3.0)</f>
        <v>3</v>
      </c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>
      <c r="A294" s="84">
        <f>IFERROR(__xludf.DUMMYFUNCTION("""COMPUTED_VALUE"""),46069.0)</f>
        <v>46069</v>
      </c>
      <c r="B294" s="59" t="str">
        <f>IFERROR(__xludf.DUMMYFUNCTION("""COMPUTED_VALUE"""),"YEMOLEE")</f>
        <v>YEMOLEE</v>
      </c>
      <c r="C294" s="59" t="str">
        <f>IFERROR(__xludf.DUMMYFUNCTION("""COMPUTED_VALUE"""),"SIMPLYY UZO")</f>
        <v>SIMPLYY UZO</v>
      </c>
      <c r="D294" s="59">
        <f>IFERROR(__xludf.DUMMYFUNCTION("""COMPUTED_VALUE"""),7.0)</f>
        <v>7</v>
      </c>
      <c r="E294" s="59">
        <f>IFERROR(__xludf.DUMMYFUNCTION("""COMPUTED_VALUE"""),5.0)</f>
        <v>5</v>
      </c>
      <c r="F294" s="59">
        <f>IFERROR(__xludf.DUMMYFUNCTION("""COMPUTED_VALUE"""),1.0)</f>
        <v>1</v>
      </c>
      <c r="G294" s="59">
        <f>IFERROR(__xludf.DUMMYFUNCTION("""COMPUTED_VALUE"""),3.0)</f>
        <v>3</v>
      </c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>
      <c r="A295" s="84">
        <f>IFERROR(__xludf.DUMMYFUNCTION("""COMPUTED_VALUE"""),46069.0)</f>
        <v>46069</v>
      </c>
      <c r="B295" s="59" t="str">
        <f>IFERROR(__xludf.DUMMYFUNCTION("""COMPUTED_VALUE"""),"FLICK")</f>
        <v>FLICK</v>
      </c>
      <c r="C295" s="59" t="str">
        <f>IFERROR(__xludf.DUMMYFUNCTION("""COMPUTED_VALUE"""),"DADABOI")</f>
        <v>DADABOI</v>
      </c>
      <c r="D295" s="59">
        <f>IFERROR(__xludf.DUMMYFUNCTION("""COMPUTED_VALUE"""),3.0)</f>
        <v>3</v>
      </c>
      <c r="E295" s="59">
        <f>IFERROR(__xludf.DUMMYFUNCTION("""COMPUTED_VALUE"""),9.0)</f>
        <v>9</v>
      </c>
      <c r="F295" s="59">
        <f>IFERROR(__xludf.DUMMYFUNCTION("""COMPUTED_VALUE"""),0.0)</f>
        <v>0</v>
      </c>
      <c r="G295" s="59">
        <f>IFERROR(__xludf.DUMMYFUNCTION("""COMPUTED_VALUE"""),0.0)</f>
        <v>0</v>
      </c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>
      <c r="A296" s="84">
        <f>IFERROR(__xludf.DUMMYFUNCTION("""COMPUTED_VALUE"""),46069.0)</f>
        <v>46069</v>
      </c>
      <c r="B296" s="59" t="str">
        <f>IFERROR(__xludf.DUMMYFUNCTION("""COMPUTED_VALUE"""),"BALO K")</f>
        <v>BALO K</v>
      </c>
      <c r="C296" s="59" t="str">
        <f>IFERROR(__xludf.DUMMYFUNCTION("""COMPUTED_VALUE"""),"ANIFE")</f>
        <v>ANIFE</v>
      </c>
      <c r="D296" s="59">
        <f>IFERROR(__xludf.DUMMYFUNCTION("""COMPUTED_VALUE"""),3.0)</f>
        <v>3</v>
      </c>
      <c r="E296" s="59">
        <f>IFERROR(__xludf.DUMMYFUNCTION("""COMPUTED_VALUE"""),12.0)</f>
        <v>12</v>
      </c>
      <c r="F296" s="59">
        <f>IFERROR(__xludf.DUMMYFUNCTION("""COMPUTED_VALUE"""),0.0)</f>
        <v>0</v>
      </c>
      <c r="G296" s="59">
        <f>IFERROR(__xludf.DUMMYFUNCTION("""COMPUTED_VALUE"""),0.0)</f>
        <v>0</v>
      </c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>
      <c r="A297" s="84">
        <f>IFERROR(__xludf.DUMMYFUNCTION("""COMPUTED_VALUE"""),46069.0)</f>
        <v>46069</v>
      </c>
      <c r="B297" s="59" t="str">
        <f>IFERROR(__xludf.DUMMYFUNCTION("""COMPUTED_VALUE"""),"GAMEWITHJOSH")</f>
        <v>GAMEWITHJOSH</v>
      </c>
      <c r="C297" s="59" t="str">
        <f>IFERROR(__xludf.DUMMYFUNCTION("""COMPUTED_VALUE"""),"DRACARYS")</f>
        <v>DRACARYS</v>
      </c>
      <c r="D297" s="59">
        <f>IFERROR(__xludf.DUMMYFUNCTION("""COMPUTED_VALUE"""),4.0)</f>
        <v>4</v>
      </c>
      <c r="E297" s="59">
        <f>IFERROR(__xludf.DUMMYFUNCTION("""COMPUTED_VALUE"""),5.0)</f>
        <v>5</v>
      </c>
      <c r="F297" s="59">
        <f>IFERROR(__xludf.DUMMYFUNCTION("""COMPUTED_VALUE"""),0.0)</f>
        <v>0</v>
      </c>
      <c r="G297" s="59">
        <f>IFERROR(__xludf.DUMMYFUNCTION("""COMPUTED_VALUE"""),0.0)</f>
        <v>0</v>
      </c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>
      <c r="A298" s="84">
        <f>IFERROR(__xludf.DUMMYFUNCTION("""COMPUTED_VALUE"""),46069.0)</f>
        <v>46069</v>
      </c>
      <c r="B298" s="59" t="str">
        <f>IFERROR(__xludf.DUMMYFUNCTION("""COMPUTED_VALUE"""),"KHALEEDOY")</f>
        <v>KHALEEDOY</v>
      </c>
      <c r="C298" s="59" t="str">
        <f>IFERROR(__xludf.DUMMYFUNCTION("""COMPUTED_VALUE"""),"MR OGA")</f>
        <v>MR OGA</v>
      </c>
      <c r="D298" s="59">
        <f>IFERROR(__xludf.DUMMYFUNCTION("""COMPUTED_VALUE"""),2.0)</f>
        <v>2</v>
      </c>
      <c r="E298" s="59">
        <f>IFERROR(__xludf.DUMMYFUNCTION("""COMPUTED_VALUE"""),6.0)</f>
        <v>6</v>
      </c>
      <c r="F298" s="59">
        <f>IFERROR(__xludf.DUMMYFUNCTION("""COMPUTED_VALUE"""),0.0)</f>
        <v>0</v>
      </c>
      <c r="G298" s="59">
        <f>IFERROR(__xludf.DUMMYFUNCTION("""COMPUTED_VALUE"""),0.0)</f>
        <v>0</v>
      </c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>
      <c r="A299" s="84">
        <f>IFERROR(__xludf.DUMMYFUNCTION("""COMPUTED_VALUE"""),46074.0)</f>
        <v>46074</v>
      </c>
      <c r="B299" s="59" t="str">
        <f>IFERROR(__xludf.DUMMYFUNCTION("""COMPUTED_VALUE"""),"TACTICAL")</f>
        <v>TACTICAL</v>
      </c>
      <c r="C299" s="59" t="str">
        <f>IFERROR(__xludf.DUMMYFUNCTION("""COMPUTED_VALUE"""),"GURU")</f>
        <v>GURU</v>
      </c>
      <c r="D299" s="59">
        <f>IFERROR(__xludf.DUMMYFUNCTION("""COMPUTED_VALUE"""),5.0)</f>
        <v>5</v>
      </c>
      <c r="E299" s="59">
        <f>IFERROR(__xludf.DUMMYFUNCTION("""COMPUTED_VALUE"""),3.0)</f>
        <v>3</v>
      </c>
      <c r="F299" s="59">
        <f>IFERROR(__xludf.DUMMYFUNCTION("""COMPUTED_VALUE"""),1.0)</f>
        <v>1</v>
      </c>
      <c r="G299" s="59">
        <f>IFERROR(__xludf.DUMMYFUNCTION("""COMPUTED_VALUE"""),3.0)</f>
        <v>3</v>
      </c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>
      <c r="A300" s="84">
        <f>IFERROR(__xludf.DUMMYFUNCTION("""COMPUTED_VALUE"""),46074.0)</f>
        <v>46074</v>
      </c>
      <c r="B300" s="59" t="str">
        <f>IFERROR(__xludf.DUMMYFUNCTION("""COMPUTED_VALUE"""),"DADABOI")</f>
        <v>DADABOI</v>
      </c>
      <c r="C300" s="59" t="str">
        <f>IFERROR(__xludf.DUMMYFUNCTION("""COMPUTED_VALUE"""),"BLAISE99")</f>
        <v>BLAISE99</v>
      </c>
      <c r="D300" s="59">
        <f>IFERROR(__xludf.DUMMYFUNCTION("""COMPUTED_VALUE"""),3.0)</f>
        <v>3</v>
      </c>
      <c r="E300" s="59">
        <f>IFERROR(__xludf.DUMMYFUNCTION("""COMPUTED_VALUE"""),0.0)</f>
        <v>0</v>
      </c>
      <c r="F300" s="59">
        <f>IFERROR(__xludf.DUMMYFUNCTION("""COMPUTED_VALUE"""),1.0)</f>
        <v>1</v>
      </c>
      <c r="G300" s="59">
        <f>IFERROR(__xludf.DUMMYFUNCTION("""COMPUTED_VALUE"""),3.0)</f>
        <v>3</v>
      </c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>
      <c r="A301" s="84">
        <f>IFERROR(__xludf.DUMMYFUNCTION("""COMPUTED_VALUE"""),46074.0)</f>
        <v>46074</v>
      </c>
      <c r="B301" s="59" t="str">
        <f>IFERROR(__xludf.DUMMYFUNCTION("""COMPUTED_VALUE"""),"KAYKAY")</f>
        <v>KAYKAY</v>
      </c>
      <c r="C301" s="59" t="str">
        <f>IFERROR(__xludf.DUMMYFUNCTION("""COMPUTED_VALUE"""),"MR OGA")</f>
        <v>MR OGA</v>
      </c>
      <c r="D301" s="59">
        <f>IFERROR(__xludf.DUMMYFUNCTION("""COMPUTED_VALUE"""),8.0)</f>
        <v>8</v>
      </c>
      <c r="E301" s="59">
        <f>IFERROR(__xludf.DUMMYFUNCTION("""COMPUTED_VALUE"""),5.0)</f>
        <v>5</v>
      </c>
      <c r="F301" s="59">
        <f>IFERROR(__xludf.DUMMYFUNCTION("""COMPUTED_VALUE"""),1.0)</f>
        <v>1</v>
      </c>
      <c r="G301" s="59">
        <f>IFERROR(__xludf.DUMMYFUNCTION("""COMPUTED_VALUE"""),3.0)</f>
        <v>3</v>
      </c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>
      <c r="A302" s="84">
        <f>IFERROR(__xludf.DUMMYFUNCTION("""COMPUTED_VALUE"""),46074.0)</f>
        <v>46074</v>
      </c>
      <c r="B302" s="59" t="str">
        <f>IFERROR(__xludf.DUMMYFUNCTION("""COMPUTED_VALUE"""),"SIMPLYY UZO")</f>
        <v>SIMPLYY UZO</v>
      </c>
      <c r="C302" s="59" t="str">
        <f>IFERROR(__xludf.DUMMYFUNCTION("""COMPUTED_VALUE"""),"BAJI SNR")</f>
        <v>BAJI SNR</v>
      </c>
      <c r="D302" s="59">
        <f>IFERROR(__xludf.DUMMYFUNCTION("""COMPUTED_VALUE"""),0.0)</f>
        <v>0</v>
      </c>
      <c r="E302" s="59">
        <f>IFERROR(__xludf.DUMMYFUNCTION("""COMPUTED_VALUE"""),3.0)</f>
        <v>3</v>
      </c>
      <c r="F302" s="59">
        <f>IFERROR(__xludf.DUMMYFUNCTION("""COMPUTED_VALUE"""),0.0)</f>
        <v>0</v>
      </c>
      <c r="G302" s="59">
        <f>IFERROR(__xludf.DUMMYFUNCTION("""COMPUTED_VALUE"""),0.0)</f>
        <v>0</v>
      </c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>
      <c r="A303" s="84">
        <f>IFERROR(__xludf.DUMMYFUNCTION("""COMPUTED_VALUE"""),46074.0)</f>
        <v>46074</v>
      </c>
      <c r="B303" s="59" t="str">
        <f>IFERROR(__xludf.DUMMYFUNCTION("""COMPUTED_VALUE"""),"KHALEEDOY")</f>
        <v>KHALEEDOY</v>
      </c>
      <c r="C303" s="59" t="str">
        <f>IFERROR(__xludf.DUMMYFUNCTION("""COMPUTED_VALUE"""),"YEMOLEE")</f>
        <v>YEMOLEE</v>
      </c>
      <c r="D303" s="59">
        <f>IFERROR(__xludf.DUMMYFUNCTION("""COMPUTED_VALUE"""),5.0)</f>
        <v>5</v>
      </c>
      <c r="E303" s="59">
        <f>IFERROR(__xludf.DUMMYFUNCTION("""COMPUTED_VALUE"""),5.0)</f>
        <v>5</v>
      </c>
      <c r="F303" s="59">
        <f>IFERROR(__xludf.DUMMYFUNCTION("""COMPUTED_VALUE"""),0.0)</f>
        <v>0</v>
      </c>
      <c r="G303" s="59">
        <f>IFERROR(__xludf.DUMMYFUNCTION("""COMPUTED_VALUE"""),1.0)</f>
        <v>1</v>
      </c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>
      <c r="A304" s="84">
        <f>IFERROR(__xludf.DUMMYFUNCTION("""COMPUTED_VALUE"""),46074.0)</f>
        <v>46074</v>
      </c>
      <c r="B304" s="59" t="str">
        <f>IFERROR(__xludf.DUMMYFUNCTION("""COMPUTED_VALUE"""),"BALO K")</f>
        <v>BALO K</v>
      </c>
      <c r="C304" s="59" t="str">
        <f>IFERROR(__xludf.DUMMYFUNCTION("""COMPUTED_VALUE"""),"KINGNONEX")</f>
        <v>KINGNONEX</v>
      </c>
      <c r="D304" s="59">
        <f>IFERROR(__xludf.DUMMYFUNCTION("""COMPUTED_VALUE"""),4.0)</f>
        <v>4</v>
      </c>
      <c r="E304" s="59">
        <f>IFERROR(__xludf.DUMMYFUNCTION("""COMPUTED_VALUE"""),5.0)</f>
        <v>5</v>
      </c>
      <c r="F304" s="59">
        <f>IFERROR(__xludf.DUMMYFUNCTION("""COMPUTED_VALUE"""),0.0)</f>
        <v>0</v>
      </c>
      <c r="G304" s="59">
        <f>IFERROR(__xludf.DUMMYFUNCTION("""COMPUTED_VALUE"""),0.0)</f>
        <v>0</v>
      </c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>
      <c r="A305" s="84">
        <f>IFERROR(__xludf.DUMMYFUNCTION("""COMPUTED_VALUE"""),46074.0)</f>
        <v>46074</v>
      </c>
      <c r="B305" s="59" t="str">
        <f>IFERROR(__xludf.DUMMYFUNCTION("""COMPUTED_VALUE"""),"ANIFE")</f>
        <v>ANIFE</v>
      </c>
      <c r="C305" s="59" t="str">
        <f>IFERROR(__xludf.DUMMYFUNCTION("""COMPUTED_VALUE"""),"RHYMEZ")</f>
        <v>RHYMEZ</v>
      </c>
      <c r="D305" s="59">
        <f>IFERROR(__xludf.DUMMYFUNCTION("""COMPUTED_VALUE"""),6.0)</f>
        <v>6</v>
      </c>
      <c r="E305" s="59">
        <f>IFERROR(__xludf.DUMMYFUNCTION("""COMPUTED_VALUE"""),5.0)</f>
        <v>5</v>
      </c>
      <c r="F305" s="59">
        <f>IFERROR(__xludf.DUMMYFUNCTION("""COMPUTED_VALUE"""),1.0)</f>
        <v>1</v>
      </c>
      <c r="G305" s="59">
        <f>IFERROR(__xludf.DUMMYFUNCTION("""COMPUTED_VALUE"""),3.0)</f>
        <v>3</v>
      </c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>
      <c r="A306" s="84">
        <f>IFERROR(__xludf.DUMMYFUNCTION("""COMPUTED_VALUE"""),46074.0)</f>
        <v>46074</v>
      </c>
      <c r="B306" s="59" t="str">
        <f>IFERROR(__xludf.DUMMYFUNCTION("""COMPUTED_VALUE"""),"GAMEWITHJOSH")</f>
        <v>GAMEWITHJOSH</v>
      </c>
      <c r="C306" s="59" t="str">
        <f>IFERROR(__xludf.DUMMYFUNCTION("""COMPUTED_VALUE"""),"BRIGHT")</f>
        <v>BRIGHT</v>
      </c>
      <c r="D306" s="59">
        <f>IFERROR(__xludf.DUMMYFUNCTION("""COMPUTED_VALUE"""),9.0)</f>
        <v>9</v>
      </c>
      <c r="E306" s="59">
        <f>IFERROR(__xludf.DUMMYFUNCTION("""COMPUTED_VALUE"""),6.0)</f>
        <v>6</v>
      </c>
      <c r="F306" s="59">
        <f>IFERROR(__xludf.DUMMYFUNCTION("""COMPUTED_VALUE"""),1.0)</f>
        <v>1</v>
      </c>
      <c r="G306" s="59">
        <f>IFERROR(__xludf.DUMMYFUNCTION("""COMPUTED_VALUE"""),3.0)</f>
        <v>3</v>
      </c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>
      <c r="A307" s="84">
        <f>IFERROR(__xludf.DUMMYFUNCTION("""COMPUTED_VALUE"""),46074.0)</f>
        <v>46074</v>
      </c>
      <c r="B307" s="59" t="str">
        <f>IFERROR(__xludf.DUMMYFUNCTION("""COMPUTED_VALUE"""),"SON OF GOD")</f>
        <v>SON OF GOD</v>
      </c>
      <c r="C307" s="59" t="str">
        <f>IFERROR(__xludf.DUMMYFUNCTION("""COMPUTED_VALUE"""),"WOLEVATION")</f>
        <v>WOLEVATION</v>
      </c>
      <c r="D307" s="59">
        <f>IFERROR(__xludf.DUMMYFUNCTION("""COMPUTED_VALUE"""),6.0)</f>
        <v>6</v>
      </c>
      <c r="E307" s="59">
        <f>IFERROR(__xludf.DUMMYFUNCTION("""COMPUTED_VALUE"""),3.0)</f>
        <v>3</v>
      </c>
      <c r="F307" s="59">
        <f>IFERROR(__xludf.DUMMYFUNCTION("""COMPUTED_VALUE"""),1.0)</f>
        <v>1</v>
      </c>
      <c r="G307" s="59">
        <f>IFERROR(__xludf.DUMMYFUNCTION("""COMPUTED_VALUE"""),3.0)</f>
        <v>3</v>
      </c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>
      <c r="A308" s="84">
        <f>IFERROR(__xludf.DUMMYFUNCTION("""COMPUTED_VALUE"""),46074.0)</f>
        <v>46074</v>
      </c>
      <c r="B308" s="59" t="str">
        <f>IFERROR(__xludf.DUMMYFUNCTION("""COMPUTED_VALUE"""),"TACTICAL")</f>
        <v>TACTICAL</v>
      </c>
      <c r="C308" s="59" t="str">
        <f>IFERROR(__xludf.DUMMYFUNCTION("""COMPUTED_VALUE"""),"SIMPLYY UZO")</f>
        <v>SIMPLYY UZO</v>
      </c>
      <c r="D308" s="59">
        <f>IFERROR(__xludf.DUMMYFUNCTION("""COMPUTED_VALUE"""),12.0)</f>
        <v>12</v>
      </c>
      <c r="E308" s="59">
        <f>IFERROR(__xludf.DUMMYFUNCTION("""COMPUTED_VALUE"""),1.0)</f>
        <v>1</v>
      </c>
      <c r="F308" s="59">
        <f>IFERROR(__xludf.DUMMYFUNCTION("""COMPUTED_VALUE"""),1.0)</f>
        <v>1</v>
      </c>
      <c r="G308" s="59">
        <f>IFERROR(__xludf.DUMMYFUNCTION("""COMPUTED_VALUE"""),3.0)</f>
        <v>3</v>
      </c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>
      <c r="A309" s="84">
        <f>IFERROR(__xludf.DUMMYFUNCTION("""COMPUTED_VALUE"""),46074.0)</f>
        <v>46074</v>
      </c>
      <c r="B309" s="59" t="str">
        <f>IFERROR(__xludf.DUMMYFUNCTION("""COMPUTED_VALUE"""),"GAMEWITHJOSH")</f>
        <v>GAMEWITHJOSH</v>
      </c>
      <c r="C309" s="59" t="str">
        <f>IFERROR(__xludf.DUMMYFUNCTION("""COMPUTED_VALUE"""),"ANIFE")</f>
        <v>ANIFE</v>
      </c>
      <c r="D309" s="59">
        <f>IFERROR(__xludf.DUMMYFUNCTION("""COMPUTED_VALUE"""),5.0)</f>
        <v>5</v>
      </c>
      <c r="E309" s="59">
        <f>IFERROR(__xludf.DUMMYFUNCTION("""COMPUTED_VALUE"""),7.0)</f>
        <v>7</v>
      </c>
      <c r="F309" s="59">
        <f>IFERROR(__xludf.DUMMYFUNCTION("""COMPUTED_VALUE"""),0.0)</f>
        <v>0</v>
      </c>
      <c r="G309" s="59">
        <f>IFERROR(__xludf.DUMMYFUNCTION("""COMPUTED_VALUE"""),0.0)</f>
        <v>0</v>
      </c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>
      <c r="A310" s="84">
        <f>IFERROR(__xludf.DUMMYFUNCTION("""COMPUTED_VALUE"""),46074.0)</f>
        <v>46074</v>
      </c>
      <c r="B310" s="59" t="str">
        <f>IFERROR(__xludf.DUMMYFUNCTION("""COMPUTED_VALUE"""),"KAYKAY")</f>
        <v>KAYKAY</v>
      </c>
      <c r="C310" s="59" t="str">
        <f>IFERROR(__xludf.DUMMYFUNCTION("""COMPUTED_VALUE"""),"BLAISE99")</f>
        <v>BLAISE99</v>
      </c>
      <c r="D310" s="59">
        <f>IFERROR(__xludf.DUMMYFUNCTION("""COMPUTED_VALUE"""),3.0)</f>
        <v>3</v>
      </c>
      <c r="E310" s="59">
        <f>IFERROR(__xludf.DUMMYFUNCTION("""COMPUTED_VALUE"""),0.0)</f>
        <v>0</v>
      </c>
      <c r="F310" s="59">
        <f>IFERROR(__xludf.DUMMYFUNCTION("""COMPUTED_VALUE"""),1.0)</f>
        <v>1</v>
      </c>
      <c r="G310" s="59">
        <f>IFERROR(__xludf.DUMMYFUNCTION("""COMPUTED_VALUE"""),3.0)</f>
        <v>3</v>
      </c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>
      <c r="A311" s="84">
        <f>IFERROR(__xludf.DUMMYFUNCTION("""COMPUTED_VALUE"""),46074.0)</f>
        <v>46074</v>
      </c>
      <c r="B311" s="59" t="str">
        <f>IFERROR(__xludf.DUMMYFUNCTION("""COMPUTED_VALUE"""),"YEMOLEE")</f>
        <v>YEMOLEE</v>
      </c>
      <c r="C311" s="59" t="str">
        <f>IFERROR(__xludf.DUMMYFUNCTION("""COMPUTED_VALUE"""),"WOLEVATION")</f>
        <v>WOLEVATION</v>
      </c>
      <c r="D311" s="59">
        <f>IFERROR(__xludf.DUMMYFUNCTION("""COMPUTED_VALUE"""),4.0)</f>
        <v>4</v>
      </c>
      <c r="E311" s="59">
        <f>IFERROR(__xludf.DUMMYFUNCTION("""COMPUTED_VALUE"""),5.0)</f>
        <v>5</v>
      </c>
      <c r="F311" s="59">
        <f>IFERROR(__xludf.DUMMYFUNCTION("""COMPUTED_VALUE"""),0.0)</f>
        <v>0</v>
      </c>
      <c r="G311" s="59">
        <f>IFERROR(__xludf.DUMMYFUNCTION("""COMPUTED_VALUE"""),0.0)</f>
        <v>0</v>
      </c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>
      <c r="A312" s="84">
        <f>IFERROR(__xludf.DUMMYFUNCTION("""COMPUTED_VALUE"""),46074.0)</f>
        <v>46074</v>
      </c>
      <c r="B312" s="59" t="str">
        <f>IFERROR(__xludf.DUMMYFUNCTION("""COMPUTED_VALUE"""),"DADABOI")</f>
        <v>DADABOI</v>
      </c>
      <c r="C312" s="59" t="str">
        <f>IFERROR(__xludf.DUMMYFUNCTION("""COMPUTED_VALUE"""),"RHYMEZ")</f>
        <v>RHYMEZ</v>
      </c>
      <c r="D312" s="59">
        <f>IFERROR(__xludf.DUMMYFUNCTION("""COMPUTED_VALUE"""),2.0)</f>
        <v>2</v>
      </c>
      <c r="E312" s="59">
        <f>IFERROR(__xludf.DUMMYFUNCTION("""COMPUTED_VALUE"""),5.0)</f>
        <v>5</v>
      </c>
      <c r="F312" s="59">
        <f>IFERROR(__xludf.DUMMYFUNCTION("""COMPUTED_VALUE"""),0.0)</f>
        <v>0</v>
      </c>
      <c r="G312" s="59">
        <f>IFERROR(__xludf.DUMMYFUNCTION("""COMPUTED_VALUE"""),0.0)</f>
        <v>0</v>
      </c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>
      <c r="A313" s="84">
        <f>IFERROR(__xludf.DUMMYFUNCTION("""COMPUTED_VALUE"""),46074.0)</f>
        <v>46074</v>
      </c>
      <c r="B313" s="59" t="str">
        <f>IFERROR(__xludf.DUMMYFUNCTION("""COMPUTED_VALUE"""),"SON OF GOD")</f>
        <v>SON OF GOD</v>
      </c>
      <c r="C313" s="59" t="str">
        <f>IFERROR(__xludf.DUMMYFUNCTION("""COMPUTED_VALUE"""),"MR OGA")</f>
        <v>MR OGA</v>
      </c>
      <c r="D313" s="59">
        <f>IFERROR(__xludf.DUMMYFUNCTION("""COMPUTED_VALUE"""),3.0)</f>
        <v>3</v>
      </c>
      <c r="E313" s="59">
        <f>IFERROR(__xludf.DUMMYFUNCTION("""COMPUTED_VALUE"""),10.0)</f>
        <v>10</v>
      </c>
      <c r="F313" s="59">
        <f>IFERROR(__xludf.DUMMYFUNCTION("""COMPUTED_VALUE"""),0.0)</f>
        <v>0</v>
      </c>
      <c r="G313" s="59">
        <f>IFERROR(__xludf.DUMMYFUNCTION("""COMPUTED_VALUE"""),0.0)</f>
        <v>0</v>
      </c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>
      <c r="A314" s="84">
        <f>IFERROR(__xludf.DUMMYFUNCTION("""COMPUTED_VALUE"""),46074.0)</f>
        <v>46074</v>
      </c>
      <c r="B314" s="59" t="str">
        <f>IFERROR(__xludf.DUMMYFUNCTION("""COMPUTED_VALUE"""),"BAJI SNR")</f>
        <v>BAJI SNR</v>
      </c>
      <c r="C314" s="59" t="str">
        <f>IFERROR(__xludf.DUMMYFUNCTION("""COMPUTED_VALUE"""),"BRIGHT")</f>
        <v>BRIGHT</v>
      </c>
      <c r="D314" s="59">
        <f>IFERROR(__xludf.DUMMYFUNCTION("""COMPUTED_VALUE"""),8.0)</f>
        <v>8</v>
      </c>
      <c r="E314" s="59">
        <f>IFERROR(__xludf.DUMMYFUNCTION("""COMPUTED_VALUE"""),1.0)</f>
        <v>1</v>
      </c>
      <c r="F314" s="59">
        <f>IFERROR(__xludf.DUMMYFUNCTION("""COMPUTED_VALUE"""),1.0)</f>
        <v>1</v>
      </c>
      <c r="G314" s="59">
        <f>IFERROR(__xludf.DUMMYFUNCTION("""COMPUTED_VALUE"""),3.0)</f>
        <v>3</v>
      </c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>
      <c r="A315" s="84">
        <f>IFERROR(__xludf.DUMMYFUNCTION("""COMPUTED_VALUE"""),46075.0)</f>
        <v>46075</v>
      </c>
      <c r="B315" s="59" t="str">
        <f>IFERROR(__xludf.DUMMYFUNCTION("""COMPUTED_VALUE"""),"DADABOI")</f>
        <v>DADABOI</v>
      </c>
      <c r="C315" s="59" t="str">
        <f>IFERROR(__xludf.DUMMYFUNCTION("""COMPUTED_VALUE"""),"BRIGHT")</f>
        <v>BRIGHT</v>
      </c>
      <c r="D315" s="59">
        <f>IFERROR(__xludf.DUMMYFUNCTION("""COMPUTED_VALUE"""),3.0)</f>
        <v>3</v>
      </c>
      <c r="E315" s="59">
        <f>IFERROR(__xludf.DUMMYFUNCTION("""COMPUTED_VALUE"""),0.0)</f>
        <v>0</v>
      </c>
      <c r="F315" s="59">
        <f>IFERROR(__xludf.DUMMYFUNCTION("""COMPUTED_VALUE"""),1.0)</f>
        <v>1</v>
      </c>
      <c r="G315" s="59">
        <f>IFERROR(__xludf.DUMMYFUNCTION("""COMPUTED_VALUE"""),3.0)</f>
        <v>3</v>
      </c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>
      <c r="A316" s="84">
        <f>IFERROR(__xludf.DUMMYFUNCTION("""COMPUTED_VALUE"""),46075.0)</f>
        <v>46075</v>
      </c>
      <c r="B316" s="59" t="str">
        <f>IFERROR(__xludf.DUMMYFUNCTION("""COMPUTED_VALUE"""),"BAJI SNR")</f>
        <v>BAJI SNR</v>
      </c>
      <c r="C316" s="59" t="str">
        <f>IFERROR(__xludf.DUMMYFUNCTION("""COMPUTED_VALUE"""),"TACTICAL")</f>
        <v>TACTICAL</v>
      </c>
      <c r="D316" s="59">
        <f>IFERROR(__xludf.DUMMYFUNCTION("""COMPUTED_VALUE"""),0.0)</f>
        <v>0</v>
      </c>
      <c r="E316" s="59">
        <f>IFERROR(__xludf.DUMMYFUNCTION("""COMPUTED_VALUE"""),3.0)</f>
        <v>3</v>
      </c>
      <c r="F316" s="59">
        <f>IFERROR(__xludf.DUMMYFUNCTION("""COMPUTED_VALUE"""),0.0)</f>
        <v>0</v>
      </c>
      <c r="G316" s="59">
        <f>IFERROR(__xludf.DUMMYFUNCTION("""COMPUTED_VALUE"""),0.0)</f>
        <v>0</v>
      </c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>
      <c r="A317" s="84">
        <f>IFERROR(__xludf.DUMMYFUNCTION("""COMPUTED_VALUE"""),46075.0)</f>
        <v>46075</v>
      </c>
      <c r="B317" s="59" t="str">
        <f>IFERROR(__xludf.DUMMYFUNCTION("""COMPUTED_VALUE"""),"MR OGA")</f>
        <v>MR OGA</v>
      </c>
      <c r="C317" s="59" t="str">
        <f>IFERROR(__xludf.DUMMYFUNCTION("""COMPUTED_VALUE"""),"GAMEWITHJOSH")</f>
        <v>GAMEWITHJOSH</v>
      </c>
      <c r="D317" s="59">
        <f>IFERROR(__xludf.DUMMYFUNCTION("""COMPUTED_VALUE"""),3.0)</f>
        <v>3</v>
      </c>
      <c r="E317" s="59">
        <f>IFERROR(__xludf.DUMMYFUNCTION("""COMPUTED_VALUE"""),6.0)</f>
        <v>6</v>
      </c>
      <c r="F317" s="59">
        <f>IFERROR(__xludf.DUMMYFUNCTION("""COMPUTED_VALUE"""),0.0)</f>
        <v>0</v>
      </c>
      <c r="G317" s="59">
        <f>IFERROR(__xludf.DUMMYFUNCTION("""COMPUTED_VALUE"""),0.0)</f>
        <v>0</v>
      </c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>
      <c r="A318" s="84">
        <f>IFERROR(__xludf.DUMMYFUNCTION("""COMPUTED_VALUE"""),46075.0)</f>
        <v>46075</v>
      </c>
      <c r="B318" s="59" t="str">
        <f>IFERROR(__xludf.DUMMYFUNCTION("""COMPUTED_VALUE"""),"WOLEVATION")</f>
        <v>WOLEVATION</v>
      </c>
      <c r="C318" s="59" t="str">
        <f>IFERROR(__xludf.DUMMYFUNCTION("""COMPUTED_VALUE"""),"BALO K")</f>
        <v>BALO K</v>
      </c>
      <c r="D318" s="59">
        <f>IFERROR(__xludf.DUMMYFUNCTION("""COMPUTED_VALUE"""),6.0)</f>
        <v>6</v>
      </c>
      <c r="E318" s="59">
        <f>IFERROR(__xludf.DUMMYFUNCTION("""COMPUTED_VALUE"""),2.0)</f>
        <v>2</v>
      </c>
      <c r="F318" s="59">
        <f>IFERROR(__xludf.DUMMYFUNCTION("""COMPUTED_VALUE"""),1.0)</f>
        <v>1</v>
      </c>
      <c r="G318" s="59">
        <f>IFERROR(__xludf.DUMMYFUNCTION("""COMPUTED_VALUE"""),3.0)</f>
        <v>3</v>
      </c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>
      <c r="A319" s="84">
        <f>IFERROR(__xludf.DUMMYFUNCTION("""COMPUTED_VALUE"""),46075.0)</f>
        <v>46075</v>
      </c>
      <c r="B319" s="59" t="str">
        <f>IFERROR(__xludf.DUMMYFUNCTION("""COMPUTED_VALUE"""),"RHYMEZ")</f>
        <v>RHYMEZ</v>
      </c>
      <c r="C319" s="59" t="str">
        <f>IFERROR(__xludf.DUMMYFUNCTION("""COMPUTED_VALUE"""),"YEMOLEE")</f>
        <v>YEMOLEE</v>
      </c>
      <c r="D319" s="59">
        <f>IFERROR(__xludf.DUMMYFUNCTION("""COMPUTED_VALUE"""),6.0)</f>
        <v>6</v>
      </c>
      <c r="E319" s="59">
        <f>IFERROR(__xludf.DUMMYFUNCTION("""COMPUTED_VALUE"""),6.0)</f>
        <v>6</v>
      </c>
      <c r="F319" s="59">
        <f>IFERROR(__xludf.DUMMYFUNCTION("""COMPUTED_VALUE"""),0.0)</f>
        <v>0</v>
      </c>
      <c r="G319" s="59">
        <f>IFERROR(__xludf.DUMMYFUNCTION("""COMPUTED_VALUE"""),1.0)</f>
        <v>1</v>
      </c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>
      <c r="A320" s="84">
        <f>IFERROR(__xludf.DUMMYFUNCTION("""COMPUTED_VALUE"""),46075.0)</f>
        <v>46075</v>
      </c>
      <c r="B320" s="59" t="str">
        <f>IFERROR(__xludf.DUMMYFUNCTION("""COMPUTED_VALUE"""),"FLICK")</f>
        <v>FLICK</v>
      </c>
      <c r="C320" s="59" t="str">
        <f>IFERROR(__xludf.DUMMYFUNCTION("""COMPUTED_VALUE"""),"GURU")</f>
        <v>GURU</v>
      </c>
      <c r="D320" s="59">
        <f>IFERROR(__xludf.DUMMYFUNCTION("""COMPUTED_VALUE"""),0.0)</f>
        <v>0</v>
      </c>
      <c r="E320" s="59">
        <f>IFERROR(__xludf.DUMMYFUNCTION("""COMPUTED_VALUE"""),3.0)</f>
        <v>3</v>
      </c>
      <c r="F320" s="59">
        <f>IFERROR(__xludf.DUMMYFUNCTION("""COMPUTED_VALUE"""),0.0)</f>
        <v>0</v>
      </c>
      <c r="G320" s="59">
        <f>IFERROR(__xludf.DUMMYFUNCTION("""COMPUTED_VALUE"""),0.0)</f>
        <v>0</v>
      </c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>
      <c r="A321" s="84">
        <f>IFERROR(__xludf.DUMMYFUNCTION("""COMPUTED_VALUE"""),46075.0)</f>
        <v>46075</v>
      </c>
      <c r="B321" s="59" t="str">
        <f>IFERROR(__xludf.DUMMYFUNCTION("""COMPUTED_VALUE"""),"DRACARYS")</f>
        <v>DRACARYS</v>
      </c>
      <c r="C321" s="59" t="str">
        <f>IFERROR(__xludf.DUMMYFUNCTION("""COMPUTED_VALUE"""),"KINGNONEX")</f>
        <v>KINGNONEX</v>
      </c>
      <c r="D321" s="59">
        <f>IFERROR(__xludf.DUMMYFUNCTION("""COMPUTED_VALUE"""),1.0)</f>
        <v>1</v>
      </c>
      <c r="E321" s="59">
        <f>IFERROR(__xludf.DUMMYFUNCTION("""COMPUTED_VALUE"""),4.0)</f>
        <v>4</v>
      </c>
      <c r="F321" s="59">
        <f>IFERROR(__xludf.DUMMYFUNCTION("""COMPUTED_VALUE"""),0.0)</f>
        <v>0</v>
      </c>
      <c r="G321" s="59">
        <f>IFERROR(__xludf.DUMMYFUNCTION("""COMPUTED_VALUE"""),0.0)</f>
        <v>0</v>
      </c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>
      <c r="A322" s="84">
        <f>IFERROR(__xludf.DUMMYFUNCTION("""COMPUTED_VALUE"""),46075.0)</f>
        <v>46075</v>
      </c>
      <c r="B322" s="59" t="str">
        <f>IFERROR(__xludf.DUMMYFUNCTION("""COMPUTED_VALUE"""),"ANIFE")</f>
        <v>ANIFE</v>
      </c>
      <c r="C322" s="59" t="str">
        <f>IFERROR(__xludf.DUMMYFUNCTION("""COMPUTED_VALUE"""),"SIMPLYY UZO")</f>
        <v>SIMPLYY UZO</v>
      </c>
      <c r="D322" s="59">
        <f>IFERROR(__xludf.DUMMYFUNCTION("""COMPUTED_VALUE"""),10.0)</f>
        <v>10</v>
      </c>
      <c r="E322" s="59">
        <f>IFERROR(__xludf.DUMMYFUNCTION("""COMPUTED_VALUE"""),6.0)</f>
        <v>6</v>
      </c>
      <c r="F322" s="59">
        <f>IFERROR(__xludf.DUMMYFUNCTION("""COMPUTED_VALUE"""),1.0)</f>
        <v>1</v>
      </c>
      <c r="G322" s="59">
        <f>IFERROR(__xludf.DUMMYFUNCTION("""COMPUTED_VALUE"""),3.0)</f>
        <v>3</v>
      </c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>
      <c r="A323" s="84">
        <f>IFERROR(__xludf.DUMMYFUNCTION("""COMPUTED_VALUE"""),46075.0)</f>
        <v>46075</v>
      </c>
      <c r="B323" s="59" t="str">
        <f>IFERROR(__xludf.DUMMYFUNCTION("""COMPUTED_VALUE"""),"BLAISE99")</f>
        <v>BLAISE99</v>
      </c>
      <c r="C323" s="59" t="str">
        <f>IFERROR(__xludf.DUMMYFUNCTION("""COMPUTED_VALUE"""),"GURU")</f>
        <v>GURU</v>
      </c>
      <c r="D323" s="59">
        <f>IFERROR(__xludf.DUMMYFUNCTION("""COMPUTED_VALUE"""),4.0)</f>
        <v>4</v>
      </c>
      <c r="E323" s="59">
        <f>IFERROR(__xludf.DUMMYFUNCTION("""COMPUTED_VALUE"""),8.0)</f>
        <v>8</v>
      </c>
      <c r="F323" s="59">
        <f>IFERROR(__xludf.DUMMYFUNCTION("""COMPUTED_VALUE"""),0.0)</f>
        <v>0</v>
      </c>
      <c r="G323" s="59">
        <f>IFERROR(__xludf.DUMMYFUNCTION("""COMPUTED_VALUE"""),0.0)</f>
        <v>0</v>
      </c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>
      <c r="A324" s="84">
        <f>IFERROR(__xludf.DUMMYFUNCTION("""COMPUTED_VALUE"""),46075.0)</f>
        <v>46075</v>
      </c>
      <c r="B324" s="59" t="str">
        <f>IFERROR(__xludf.DUMMYFUNCTION("""COMPUTED_VALUE"""),"KAYKAY")</f>
        <v>KAYKAY</v>
      </c>
      <c r="C324" s="59" t="str">
        <f>IFERROR(__xludf.DUMMYFUNCTION("""COMPUTED_VALUE"""),"BALO K")</f>
        <v>BALO K</v>
      </c>
      <c r="D324" s="59">
        <f>IFERROR(__xludf.DUMMYFUNCTION("""COMPUTED_VALUE"""),7.0)</f>
        <v>7</v>
      </c>
      <c r="E324" s="59">
        <f>IFERROR(__xludf.DUMMYFUNCTION("""COMPUTED_VALUE"""),1.0)</f>
        <v>1</v>
      </c>
      <c r="F324" s="59">
        <f>IFERROR(__xludf.DUMMYFUNCTION("""COMPUTED_VALUE"""),1.0)</f>
        <v>1</v>
      </c>
      <c r="G324" s="59">
        <f>IFERROR(__xludf.DUMMYFUNCTION("""COMPUTED_VALUE"""),3.0)</f>
        <v>3</v>
      </c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>
      <c r="A325" s="84">
        <f>IFERROR(__xludf.DUMMYFUNCTION("""COMPUTED_VALUE"""),46075.0)</f>
        <v>46075</v>
      </c>
      <c r="B325" s="59" t="str">
        <f>IFERROR(__xludf.DUMMYFUNCTION("""COMPUTED_VALUE"""),"GAMEWITHJOSH")</f>
        <v>GAMEWITHJOSH</v>
      </c>
      <c r="C325" s="59" t="str">
        <f>IFERROR(__xludf.DUMMYFUNCTION("""COMPUTED_VALUE"""),"KINGNONEX")</f>
        <v>KINGNONEX</v>
      </c>
      <c r="D325" s="59">
        <f>IFERROR(__xludf.DUMMYFUNCTION("""COMPUTED_VALUE"""),5.0)</f>
        <v>5</v>
      </c>
      <c r="E325" s="59">
        <f>IFERROR(__xludf.DUMMYFUNCTION("""COMPUTED_VALUE"""),5.0)</f>
        <v>5</v>
      </c>
      <c r="F325" s="59">
        <f>IFERROR(__xludf.DUMMYFUNCTION("""COMPUTED_VALUE"""),0.0)</f>
        <v>0</v>
      </c>
      <c r="G325" s="59">
        <f>IFERROR(__xludf.DUMMYFUNCTION("""COMPUTED_VALUE"""),1.0)</f>
        <v>1</v>
      </c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>
      <c r="A326" s="84">
        <f>IFERROR(__xludf.DUMMYFUNCTION("""COMPUTED_VALUE"""),46075.0)</f>
        <v>46075</v>
      </c>
      <c r="B326" s="59" t="str">
        <f>IFERROR(__xludf.DUMMYFUNCTION("""COMPUTED_VALUE"""),"TACTICAL")</f>
        <v>TACTICAL</v>
      </c>
      <c r="C326" s="59" t="str">
        <f>IFERROR(__xludf.DUMMYFUNCTION("""COMPUTED_VALUE"""),"FLICK")</f>
        <v>FLICK</v>
      </c>
      <c r="D326" s="59">
        <f>IFERROR(__xludf.DUMMYFUNCTION("""COMPUTED_VALUE"""),3.0)</f>
        <v>3</v>
      </c>
      <c r="E326" s="59">
        <f>IFERROR(__xludf.DUMMYFUNCTION("""COMPUTED_VALUE"""),0.0)</f>
        <v>0</v>
      </c>
      <c r="F326" s="59">
        <f>IFERROR(__xludf.DUMMYFUNCTION("""COMPUTED_VALUE"""),1.0)</f>
        <v>1</v>
      </c>
      <c r="G326" s="59">
        <f>IFERROR(__xludf.DUMMYFUNCTION("""COMPUTED_VALUE"""),3.0)</f>
        <v>3</v>
      </c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>
      <c r="A327" s="84">
        <f>IFERROR(__xludf.DUMMYFUNCTION("""COMPUTED_VALUE"""),46081.0)</f>
        <v>46081</v>
      </c>
      <c r="B327" s="59" t="str">
        <f>IFERROR(__xludf.DUMMYFUNCTION("""COMPUTED_VALUE"""),"SIMPLYY UZO")</f>
        <v>SIMPLYY UZO</v>
      </c>
      <c r="C327" s="59" t="str">
        <f>IFERROR(__xludf.DUMMYFUNCTION("""COMPUTED_VALUE"""),"BRIGHT")</f>
        <v>BRIGHT</v>
      </c>
      <c r="D327" s="59">
        <f>IFERROR(__xludf.DUMMYFUNCTION("""COMPUTED_VALUE"""),5.0)</f>
        <v>5</v>
      </c>
      <c r="E327" s="59">
        <f>IFERROR(__xludf.DUMMYFUNCTION("""COMPUTED_VALUE"""),6.0)</f>
        <v>6</v>
      </c>
      <c r="F327" s="59">
        <f>IFERROR(__xludf.DUMMYFUNCTION("""COMPUTED_VALUE"""),0.0)</f>
        <v>0</v>
      </c>
      <c r="G327" s="59">
        <f>IFERROR(__xludf.DUMMYFUNCTION("""COMPUTED_VALUE"""),0.0)</f>
        <v>0</v>
      </c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>
      <c r="A328" s="84">
        <f>IFERROR(__xludf.DUMMYFUNCTION("""COMPUTED_VALUE"""),46081.0)</f>
        <v>46081</v>
      </c>
      <c r="B328" s="59" t="str">
        <f>IFERROR(__xludf.DUMMYFUNCTION("""COMPUTED_VALUE"""),"BLAISE99")</f>
        <v>BLAISE99</v>
      </c>
      <c r="C328" s="59" t="str">
        <f>IFERROR(__xludf.DUMMYFUNCTION("""COMPUTED_VALUE"""),"KINGNONEX")</f>
        <v>KINGNONEX</v>
      </c>
      <c r="D328" s="59">
        <f>IFERROR(__xludf.DUMMYFUNCTION("""COMPUTED_VALUE"""),0.0)</f>
        <v>0</v>
      </c>
      <c r="E328" s="59">
        <f>IFERROR(__xludf.DUMMYFUNCTION("""COMPUTED_VALUE"""),3.0)</f>
        <v>3</v>
      </c>
      <c r="F328" s="59">
        <f>IFERROR(__xludf.DUMMYFUNCTION("""COMPUTED_VALUE"""),0.0)</f>
        <v>0</v>
      </c>
      <c r="G328" s="59">
        <f>IFERROR(__xludf.DUMMYFUNCTION("""COMPUTED_VALUE"""),0.0)</f>
        <v>0</v>
      </c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>
      <c r="A329" s="84">
        <f>IFERROR(__xludf.DUMMYFUNCTION("""COMPUTED_VALUE"""),46081.0)</f>
        <v>46081</v>
      </c>
      <c r="B329" s="59" t="str">
        <f>IFERROR(__xludf.DUMMYFUNCTION("""COMPUTED_VALUE"""),"DADABOI")</f>
        <v>DADABOI</v>
      </c>
      <c r="C329" s="59" t="str">
        <f>IFERROR(__xludf.DUMMYFUNCTION("""COMPUTED_VALUE"""),"MR OGA")</f>
        <v>MR OGA</v>
      </c>
      <c r="D329" s="59">
        <f>IFERROR(__xludf.DUMMYFUNCTION("""COMPUTED_VALUE"""),7.0)</f>
        <v>7</v>
      </c>
      <c r="E329" s="59">
        <f>IFERROR(__xludf.DUMMYFUNCTION("""COMPUTED_VALUE"""),3.0)</f>
        <v>3</v>
      </c>
      <c r="F329" s="59">
        <f>IFERROR(__xludf.DUMMYFUNCTION("""COMPUTED_VALUE"""),1.0)</f>
        <v>1</v>
      </c>
      <c r="G329" s="59">
        <f>IFERROR(__xludf.DUMMYFUNCTION("""COMPUTED_VALUE"""),3.0)</f>
        <v>3</v>
      </c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>
      <c r="A330" s="84">
        <f>IFERROR(__xludf.DUMMYFUNCTION("""COMPUTED_VALUE"""),46081.0)</f>
        <v>46081</v>
      </c>
      <c r="B330" s="59" t="str">
        <f>IFERROR(__xludf.DUMMYFUNCTION("""COMPUTED_VALUE"""),"FLICK")</f>
        <v>FLICK</v>
      </c>
      <c r="C330" s="59" t="str">
        <f>IFERROR(__xludf.DUMMYFUNCTION("""COMPUTED_VALUE"""),"GAMEWITHJOSH")</f>
        <v>GAMEWITHJOSH</v>
      </c>
      <c r="D330" s="59">
        <f>IFERROR(__xludf.DUMMYFUNCTION("""COMPUTED_VALUE"""),0.0)</f>
        <v>0</v>
      </c>
      <c r="E330" s="59">
        <f>IFERROR(__xludf.DUMMYFUNCTION("""COMPUTED_VALUE"""),3.0)</f>
        <v>3</v>
      </c>
      <c r="F330" s="59">
        <f>IFERROR(__xludf.DUMMYFUNCTION("""COMPUTED_VALUE"""),0.0)</f>
        <v>0</v>
      </c>
      <c r="G330" s="59">
        <f>IFERROR(__xludf.DUMMYFUNCTION("""COMPUTED_VALUE"""),0.0)</f>
        <v>0</v>
      </c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>
      <c r="A331" s="84">
        <f>IFERROR(__xludf.DUMMYFUNCTION("""COMPUTED_VALUE"""),46081.0)</f>
        <v>46081</v>
      </c>
      <c r="B331" s="59" t="str">
        <f>IFERROR(__xludf.DUMMYFUNCTION("""COMPUTED_VALUE"""),"DRACARYS")</f>
        <v>DRACARYS</v>
      </c>
      <c r="C331" s="59" t="str">
        <f>IFERROR(__xludf.DUMMYFUNCTION("""COMPUTED_VALUE"""),"RHYMEZ")</f>
        <v>RHYMEZ</v>
      </c>
      <c r="D331" s="59">
        <f>IFERROR(__xludf.DUMMYFUNCTION("""COMPUTED_VALUE"""),2.0)</f>
        <v>2</v>
      </c>
      <c r="E331" s="59">
        <f>IFERROR(__xludf.DUMMYFUNCTION("""COMPUTED_VALUE"""),6.0)</f>
        <v>6</v>
      </c>
      <c r="F331" s="59">
        <f>IFERROR(__xludf.DUMMYFUNCTION("""COMPUTED_VALUE"""),0.0)</f>
        <v>0</v>
      </c>
      <c r="G331" s="59">
        <f>IFERROR(__xludf.DUMMYFUNCTION("""COMPUTED_VALUE"""),0.0)</f>
        <v>0</v>
      </c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>
      <c r="A332" s="84">
        <f>IFERROR(__xludf.DUMMYFUNCTION("""COMPUTED_VALUE"""),46081.0)</f>
        <v>46081</v>
      </c>
      <c r="B332" s="59" t="str">
        <f>IFERROR(__xludf.DUMMYFUNCTION("""COMPUTED_VALUE"""),"BAJI SNR")</f>
        <v>BAJI SNR</v>
      </c>
      <c r="C332" s="59" t="str">
        <f>IFERROR(__xludf.DUMMYFUNCTION("""COMPUTED_VALUE"""),"SON OF GOD")</f>
        <v>SON OF GOD</v>
      </c>
      <c r="D332" s="59">
        <f>IFERROR(__xludf.DUMMYFUNCTION("""COMPUTED_VALUE"""),0.0)</f>
        <v>0</v>
      </c>
      <c r="E332" s="59">
        <f>IFERROR(__xludf.DUMMYFUNCTION("""COMPUTED_VALUE"""),3.0)</f>
        <v>3</v>
      </c>
      <c r="F332" s="59">
        <f>IFERROR(__xludf.DUMMYFUNCTION("""COMPUTED_VALUE"""),0.0)</f>
        <v>0</v>
      </c>
      <c r="G332" s="59">
        <f>IFERROR(__xludf.DUMMYFUNCTION("""COMPUTED_VALUE"""),0.0)</f>
        <v>0</v>
      </c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>
      <c r="A333" s="84">
        <f>IFERROR(__xludf.DUMMYFUNCTION("""COMPUTED_VALUE"""),46081.0)</f>
        <v>46081</v>
      </c>
      <c r="B333" s="59" t="str">
        <f>IFERROR(__xludf.DUMMYFUNCTION("""COMPUTED_VALUE"""),"WOLEVATION")</f>
        <v>WOLEVATION</v>
      </c>
      <c r="C333" s="59" t="str">
        <f>IFERROR(__xludf.DUMMYFUNCTION("""COMPUTED_VALUE"""),"ANIFE")</f>
        <v>ANIFE</v>
      </c>
      <c r="D333" s="59">
        <f>IFERROR(__xludf.DUMMYFUNCTION("""COMPUTED_VALUE"""),4.0)</f>
        <v>4</v>
      </c>
      <c r="E333" s="59">
        <f>IFERROR(__xludf.DUMMYFUNCTION("""COMPUTED_VALUE"""),4.0)</f>
        <v>4</v>
      </c>
      <c r="F333" s="59">
        <f>IFERROR(__xludf.DUMMYFUNCTION("""COMPUTED_VALUE"""),0.0)</f>
        <v>0</v>
      </c>
      <c r="G333" s="59">
        <f>IFERROR(__xludf.DUMMYFUNCTION("""COMPUTED_VALUE"""),1.0)</f>
        <v>1</v>
      </c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>
      <c r="A334" s="84">
        <f>IFERROR(__xludf.DUMMYFUNCTION("""COMPUTED_VALUE"""),46081.0)</f>
        <v>46081</v>
      </c>
      <c r="B334" s="59" t="str">
        <f>IFERROR(__xludf.DUMMYFUNCTION("""COMPUTED_VALUE"""),"BALO K")</f>
        <v>BALO K</v>
      </c>
      <c r="C334" s="59" t="str">
        <f>IFERROR(__xludf.DUMMYFUNCTION("""COMPUTED_VALUE"""),"KHALEEDOY")</f>
        <v>KHALEEDOY</v>
      </c>
      <c r="D334" s="59">
        <f>IFERROR(__xludf.DUMMYFUNCTION("""COMPUTED_VALUE"""),3.0)</f>
        <v>3</v>
      </c>
      <c r="E334" s="59">
        <f>IFERROR(__xludf.DUMMYFUNCTION("""COMPUTED_VALUE"""),5.0)</f>
        <v>5</v>
      </c>
      <c r="F334" s="59">
        <f>IFERROR(__xludf.DUMMYFUNCTION("""COMPUTED_VALUE"""),0.0)</f>
        <v>0</v>
      </c>
      <c r="G334" s="59">
        <f>IFERROR(__xludf.DUMMYFUNCTION("""COMPUTED_VALUE"""),0.0)</f>
        <v>0</v>
      </c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>
      <c r="A335" s="84">
        <f>IFERROR(__xludf.DUMMYFUNCTION("""COMPUTED_VALUE"""),46081.0)</f>
        <v>46081</v>
      </c>
      <c r="B335" s="59" t="str">
        <f>IFERROR(__xludf.DUMMYFUNCTION("""COMPUTED_VALUE"""),"YEMOLEE")</f>
        <v>YEMOLEE</v>
      </c>
      <c r="C335" s="59" t="str">
        <f>IFERROR(__xludf.DUMMYFUNCTION("""COMPUTED_VALUE"""),"KAYKAY")</f>
        <v>KAYKAY</v>
      </c>
      <c r="D335" s="59">
        <f>IFERROR(__xludf.DUMMYFUNCTION("""COMPUTED_VALUE"""),8.0)</f>
        <v>8</v>
      </c>
      <c r="E335" s="59">
        <f>IFERROR(__xludf.DUMMYFUNCTION("""COMPUTED_VALUE"""),3.0)</f>
        <v>3</v>
      </c>
      <c r="F335" s="59">
        <f>IFERROR(__xludf.DUMMYFUNCTION("""COMPUTED_VALUE"""),1.0)</f>
        <v>1</v>
      </c>
      <c r="G335" s="59">
        <f>IFERROR(__xludf.DUMMYFUNCTION("""COMPUTED_VALUE"""),3.0)</f>
        <v>3</v>
      </c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>
      <c r="A336" s="84">
        <f>IFERROR(__xludf.DUMMYFUNCTION("""COMPUTED_VALUE"""),46081.0)</f>
        <v>46081</v>
      </c>
      <c r="B336" s="59" t="str">
        <f>IFERROR(__xludf.DUMMYFUNCTION("""COMPUTED_VALUE"""),"SIMPLYY UZO")</f>
        <v>SIMPLYY UZO</v>
      </c>
      <c r="C336" s="59" t="str">
        <f>IFERROR(__xludf.DUMMYFUNCTION("""COMPUTED_VALUE"""),"DRACARYS")</f>
        <v>DRACARYS</v>
      </c>
      <c r="D336" s="59">
        <f>IFERROR(__xludf.DUMMYFUNCTION("""COMPUTED_VALUE"""),0.0)</f>
        <v>0</v>
      </c>
      <c r="E336" s="59">
        <f>IFERROR(__xludf.DUMMYFUNCTION("""COMPUTED_VALUE"""),3.0)</f>
        <v>3</v>
      </c>
      <c r="F336" s="59">
        <f>IFERROR(__xludf.DUMMYFUNCTION("""COMPUTED_VALUE"""),0.0)</f>
        <v>0</v>
      </c>
      <c r="G336" s="59">
        <f>IFERROR(__xludf.DUMMYFUNCTION("""COMPUTED_VALUE"""),0.0)</f>
        <v>0</v>
      </c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>
      <c r="A337" s="84">
        <f>IFERROR(__xludf.DUMMYFUNCTION("""COMPUTED_VALUE"""),46081.0)</f>
        <v>46081</v>
      </c>
      <c r="B337" s="59" t="str">
        <f>IFERROR(__xludf.DUMMYFUNCTION("""COMPUTED_VALUE"""),"SON OF GOD")</f>
        <v>SON OF GOD</v>
      </c>
      <c r="C337" s="59" t="str">
        <f>IFERROR(__xludf.DUMMYFUNCTION("""COMPUTED_VALUE"""),"RHYMEZ")</f>
        <v>RHYMEZ</v>
      </c>
      <c r="D337" s="59">
        <f>IFERROR(__xludf.DUMMYFUNCTION("""COMPUTED_VALUE"""),5.0)</f>
        <v>5</v>
      </c>
      <c r="E337" s="59">
        <f>IFERROR(__xludf.DUMMYFUNCTION("""COMPUTED_VALUE"""),6.0)</f>
        <v>6</v>
      </c>
      <c r="F337" s="59">
        <f>IFERROR(__xludf.DUMMYFUNCTION("""COMPUTED_VALUE"""),0.0)</f>
        <v>0</v>
      </c>
      <c r="G337" s="59">
        <f>IFERROR(__xludf.DUMMYFUNCTION("""COMPUTED_VALUE"""),0.0)</f>
        <v>0</v>
      </c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>
      <c r="A338" s="84">
        <f>IFERROR(__xludf.DUMMYFUNCTION("""COMPUTED_VALUE"""),46081.0)</f>
        <v>46081</v>
      </c>
      <c r="B338" s="59" t="str">
        <f>IFERROR(__xludf.DUMMYFUNCTION("""COMPUTED_VALUE"""),"WOLEVATION")</f>
        <v>WOLEVATION</v>
      </c>
      <c r="C338" s="59" t="str">
        <f>IFERROR(__xludf.DUMMYFUNCTION("""COMPUTED_VALUE"""),"DADABOI")</f>
        <v>DADABOI</v>
      </c>
      <c r="D338" s="59">
        <f>IFERROR(__xludf.DUMMYFUNCTION("""COMPUTED_VALUE"""),6.0)</f>
        <v>6</v>
      </c>
      <c r="E338" s="59">
        <f>IFERROR(__xludf.DUMMYFUNCTION("""COMPUTED_VALUE"""),6.0)</f>
        <v>6</v>
      </c>
      <c r="F338" s="59">
        <f>IFERROR(__xludf.DUMMYFUNCTION("""COMPUTED_VALUE"""),0.0)</f>
        <v>0</v>
      </c>
      <c r="G338" s="59">
        <f>IFERROR(__xludf.DUMMYFUNCTION("""COMPUTED_VALUE"""),1.0)</f>
        <v>1</v>
      </c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>
      <c r="A339" s="84">
        <f>IFERROR(__xludf.DUMMYFUNCTION("""COMPUTED_VALUE"""),46081.0)</f>
        <v>46081</v>
      </c>
      <c r="B339" s="59" t="str">
        <f>IFERROR(__xludf.DUMMYFUNCTION("""COMPUTED_VALUE"""),"YEMOLEE")</f>
        <v>YEMOLEE</v>
      </c>
      <c r="C339" s="59" t="str">
        <f>IFERROR(__xludf.DUMMYFUNCTION("""COMPUTED_VALUE"""),"BLAISE99")</f>
        <v>BLAISE99</v>
      </c>
      <c r="D339" s="59">
        <f>IFERROR(__xludf.DUMMYFUNCTION("""COMPUTED_VALUE"""),7.0)</f>
        <v>7</v>
      </c>
      <c r="E339" s="59">
        <f>IFERROR(__xludf.DUMMYFUNCTION("""COMPUTED_VALUE"""),4.0)</f>
        <v>4</v>
      </c>
      <c r="F339" s="59">
        <f>IFERROR(__xludf.DUMMYFUNCTION("""COMPUTED_VALUE"""),1.0)</f>
        <v>1</v>
      </c>
      <c r="G339" s="59">
        <f>IFERROR(__xludf.DUMMYFUNCTION("""COMPUTED_VALUE"""),3.0)</f>
        <v>3</v>
      </c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>
      <c r="A340" s="84">
        <f>IFERROR(__xludf.DUMMYFUNCTION("""COMPUTED_VALUE"""),46081.0)</f>
        <v>46081</v>
      </c>
      <c r="B340" s="59" t="str">
        <f>IFERROR(__xludf.DUMMYFUNCTION("""COMPUTED_VALUE"""),"BALO K")</f>
        <v>BALO K</v>
      </c>
      <c r="C340" s="59" t="str">
        <f>IFERROR(__xludf.DUMMYFUNCTION("""COMPUTED_VALUE"""),"FLICK")</f>
        <v>FLICK</v>
      </c>
      <c r="D340" s="59">
        <f>IFERROR(__xludf.DUMMYFUNCTION("""COMPUTED_VALUE"""),3.0)</f>
        <v>3</v>
      </c>
      <c r="E340" s="59">
        <f>IFERROR(__xludf.DUMMYFUNCTION("""COMPUTED_VALUE"""),0.0)</f>
        <v>0</v>
      </c>
      <c r="F340" s="59">
        <f>IFERROR(__xludf.DUMMYFUNCTION("""COMPUTED_VALUE"""),1.0)</f>
        <v>1</v>
      </c>
      <c r="G340" s="59">
        <f>IFERROR(__xludf.DUMMYFUNCTION("""COMPUTED_VALUE"""),3.0)</f>
        <v>3</v>
      </c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>
      <c r="A341" s="84">
        <f>IFERROR(__xludf.DUMMYFUNCTION("""COMPUTED_VALUE"""),46081.0)</f>
        <v>46081</v>
      </c>
      <c r="B341" s="59" t="str">
        <f>IFERROR(__xludf.DUMMYFUNCTION("""COMPUTED_VALUE"""),"MR OGA")</f>
        <v>MR OGA</v>
      </c>
      <c r="C341" s="59" t="str">
        <f>IFERROR(__xludf.DUMMYFUNCTION("""COMPUTED_VALUE"""),"KINGNONEX")</f>
        <v>KINGNONEX</v>
      </c>
      <c r="D341" s="59">
        <f>IFERROR(__xludf.DUMMYFUNCTION("""COMPUTED_VALUE"""),4.0)</f>
        <v>4</v>
      </c>
      <c r="E341" s="59">
        <f>IFERROR(__xludf.DUMMYFUNCTION("""COMPUTED_VALUE"""),7.0)</f>
        <v>7</v>
      </c>
      <c r="F341" s="59">
        <f>IFERROR(__xludf.DUMMYFUNCTION("""COMPUTED_VALUE"""),0.0)</f>
        <v>0</v>
      </c>
      <c r="G341" s="59">
        <f>IFERROR(__xludf.DUMMYFUNCTION("""COMPUTED_VALUE"""),0.0)</f>
        <v>0</v>
      </c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>
      <c r="A342" s="84">
        <f>IFERROR(__xludf.DUMMYFUNCTION("""COMPUTED_VALUE"""),46081.0)</f>
        <v>46081</v>
      </c>
      <c r="B342" s="59" t="str">
        <f>IFERROR(__xludf.DUMMYFUNCTION("""COMPUTED_VALUE"""),"KHALEEDOY")</f>
        <v>KHALEEDOY</v>
      </c>
      <c r="C342" s="59" t="str">
        <f>IFERROR(__xludf.DUMMYFUNCTION("""COMPUTED_VALUE"""),"KAYKAY")</f>
        <v>KAYKAY</v>
      </c>
      <c r="D342" s="59">
        <f>IFERROR(__xludf.DUMMYFUNCTION("""COMPUTED_VALUE"""),10.0)</f>
        <v>10</v>
      </c>
      <c r="E342" s="59">
        <f>IFERROR(__xludf.DUMMYFUNCTION("""COMPUTED_VALUE"""),4.0)</f>
        <v>4</v>
      </c>
      <c r="F342" s="59">
        <f>IFERROR(__xludf.DUMMYFUNCTION("""COMPUTED_VALUE"""),1.0)</f>
        <v>1</v>
      </c>
      <c r="G342" s="59">
        <f>IFERROR(__xludf.DUMMYFUNCTION("""COMPUTED_VALUE"""),3.0)</f>
        <v>3</v>
      </c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>
      <c r="A343" s="84">
        <f>IFERROR(__xludf.DUMMYFUNCTION("""COMPUTED_VALUE"""),46082.0)</f>
        <v>46082</v>
      </c>
      <c r="B343" s="59" t="str">
        <f>IFERROR(__xludf.DUMMYFUNCTION("""COMPUTED_VALUE"""),"KHALEEDOY")</f>
        <v>KHALEEDOY</v>
      </c>
      <c r="C343" s="59" t="str">
        <f>IFERROR(__xludf.DUMMYFUNCTION("""COMPUTED_VALUE"""),"BRIGHT")</f>
        <v>BRIGHT</v>
      </c>
      <c r="D343" s="59">
        <f>IFERROR(__xludf.DUMMYFUNCTION("""COMPUTED_VALUE"""),6.0)</f>
        <v>6</v>
      </c>
      <c r="E343" s="59">
        <f>IFERROR(__xludf.DUMMYFUNCTION("""COMPUTED_VALUE"""),6.0)</f>
        <v>6</v>
      </c>
      <c r="F343" s="59">
        <f>IFERROR(__xludf.DUMMYFUNCTION("""COMPUTED_VALUE"""),0.0)</f>
        <v>0</v>
      </c>
      <c r="G343" s="59">
        <f>IFERROR(__xludf.DUMMYFUNCTION("""COMPUTED_VALUE"""),1.0)</f>
        <v>1</v>
      </c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>
      <c r="A344" s="84">
        <f>IFERROR(__xludf.DUMMYFUNCTION("""COMPUTED_VALUE"""),46082.0)</f>
        <v>46082</v>
      </c>
      <c r="B344" s="59" t="str">
        <f>IFERROR(__xludf.DUMMYFUNCTION("""COMPUTED_VALUE"""),"BAJI SNR")</f>
        <v>BAJI SNR</v>
      </c>
      <c r="C344" s="59" t="str">
        <f>IFERROR(__xludf.DUMMYFUNCTION("""COMPUTED_VALUE"""),"FLICK")</f>
        <v>FLICK</v>
      </c>
      <c r="D344" s="59">
        <f>IFERROR(__xludf.DUMMYFUNCTION("""COMPUTED_VALUE"""),3.0)</f>
        <v>3</v>
      </c>
      <c r="E344" s="59">
        <f>IFERROR(__xludf.DUMMYFUNCTION("""COMPUTED_VALUE"""),0.0)</f>
        <v>0</v>
      </c>
      <c r="F344" s="59">
        <f>IFERROR(__xludf.DUMMYFUNCTION("""COMPUTED_VALUE"""),1.0)</f>
        <v>1</v>
      </c>
      <c r="G344" s="59">
        <f>IFERROR(__xludf.DUMMYFUNCTION("""COMPUTED_VALUE"""),3.0)</f>
        <v>3</v>
      </c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>
      <c r="A345" s="84">
        <f>IFERROR(__xludf.DUMMYFUNCTION("""COMPUTED_VALUE"""),46082.0)</f>
        <v>46082</v>
      </c>
      <c r="B345" s="59" t="str">
        <f>IFERROR(__xludf.DUMMYFUNCTION("""COMPUTED_VALUE"""),"GURU")</f>
        <v>GURU</v>
      </c>
      <c r="C345" s="59" t="str">
        <f>IFERROR(__xludf.DUMMYFUNCTION("""COMPUTED_VALUE"""),"KAYKAY")</f>
        <v>KAYKAY</v>
      </c>
      <c r="D345" s="59">
        <f>IFERROR(__xludf.DUMMYFUNCTION("""COMPUTED_VALUE"""),5.0)</f>
        <v>5</v>
      </c>
      <c r="E345" s="59">
        <f>IFERROR(__xludf.DUMMYFUNCTION("""COMPUTED_VALUE"""),8.0)</f>
        <v>8</v>
      </c>
      <c r="F345" s="59">
        <f>IFERROR(__xludf.DUMMYFUNCTION("""COMPUTED_VALUE"""),0.0)</f>
        <v>0</v>
      </c>
      <c r="G345" s="59">
        <f>IFERROR(__xludf.DUMMYFUNCTION("""COMPUTED_VALUE"""),0.0)</f>
        <v>0</v>
      </c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>
      <c r="A346" s="84">
        <f>IFERROR(__xludf.DUMMYFUNCTION("""COMPUTED_VALUE"""),46082.0)</f>
        <v>46082</v>
      </c>
      <c r="B346" s="59" t="str">
        <f>IFERROR(__xludf.DUMMYFUNCTION("""COMPUTED_VALUE"""),"WOLEVATION")</f>
        <v>WOLEVATION</v>
      </c>
      <c r="C346" s="59" t="str">
        <f>IFERROR(__xludf.DUMMYFUNCTION("""COMPUTED_VALUE"""),"SIMPLYY UZO")</f>
        <v>SIMPLYY UZO</v>
      </c>
      <c r="D346" s="59">
        <f>IFERROR(__xludf.DUMMYFUNCTION("""COMPUTED_VALUE"""),9.0)</f>
        <v>9</v>
      </c>
      <c r="E346" s="59">
        <f>IFERROR(__xludf.DUMMYFUNCTION("""COMPUTED_VALUE"""),6.0)</f>
        <v>6</v>
      </c>
      <c r="F346" s="59">
        <f>IFERROR(__xludf.DUMMYFUNCTION("""COMPUTED_VALUE"""),1.0)</f>
        <v>1</v>
      </c>
      <c r="G346" s="59">
        <f>IFERROR(__xludf.DUMMYFUNCTION("""COMPUTED_VALUE"""),3.0)</f>
        <v>3</v>
      </c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>
      <c r="A347" s="84">
        <f>IFERROR(__xludf.DUMMYFUNCTION("""COMPUTED_VALUE"""),46082.0)</f>
        <v>46082</v>
      </c>
      <c r="B347" s="59" t="str">
        <f>IFERROR(__xludf.DUMMYFUNCTION("""COMPUTED_VALUE"""),"YEMOLEE")</f>
        <v>YEMOLEE</v>
      </c>
      <c r="C347" s="59" t="str">
        <f>IFERROR(__xludf.DUMMYFUNCTION("""COMPUTED_VALUE"""),"GAMEWITHJOSH")</f>
        <v>GAMEWITHJOSH</v>
      </c>
      <c r="D347" s="59">
        <f>IFERROR(__xludf.DUMMYFUNCTION("""COMPUTED_VALUE"""),6.0)</f>
        <v>6</v>
      </c>
      <c r="E347" s="59">
        <f>IFERROR(__xludf.DUMMYFUNCTION("""COMPUTED_VALUE"""),2.0)</f>
        <v>2</v>
      </c>
      <c r="F347" s="59">
        <f>IFERROR(__xludf.DUMMYFUNCTION("""COMPUTED_VALUE"""),1.0)</f>
        <v>1</v>
      </c>
      <c r="G347" s="59">
        <f>IFERROR(__xludf.DUMMYFUNCTION("""COMPUTED_VALUE"""),3.0)</f>
        <v>3</v>
      </c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>
      <c r="A348" s="84">
        <f>IFERROR(__xludf.DUMMYFUNCTION("""COMPUTED_VALUE"""),46082.0)</f>
        <v>46082</v>
      </c>
      <c r="B348" s="59" t="str">
        <f>IFERROR(__xludf.DUMMYFUNCTION("""COMPUTED_VALUE"""),"ANIFE")</f>
        <v>ANIFE</v>
      </c>
      <c r="C348" s="59" t="str">
        <f>IFERROR(__xludf.DUMMYFUNCTION("""COMPUTED_VALUE"""),"BLAISE99")</f>
        <v>BLAISE99</v>
      </c>
      <c r="D348" s="59">
        <f>IFERROR(__xludf.DUMMYFUNCTION("""COMPUTED_VALUE"""),3.0)</f>
        <v>3</v>
      </c>
      <c r="E348" s="59">
        <f>IFERROR(__xludf.DUMMYFUNCTION("""COMPUTED_VALUE"""),0.0)</f>
        <v>0</v>
      </c>
      <c r="F348" s="59">
        <f>IFERROR(__xludf.DUMMYFUNCTION("""COMPUTED_VALUE"""),1.0)</f>
        <v>1</v>
      </c>
      <c r="G348" s="59">
        <f>IFERROR(__xludf.DUMMYFUNCTION("""COMPUTED_VALUE"""),3.0)</f>
        <v>3</v>
      </c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>
      <c r="A349" s="84">
        <f>IFERROR(__xludf.DUMMYFUNCTION("""COMPUTED_VALUE"""),46082.0)</f>
        <v>46082</v>
      </c>
      <c r="B349" s="59" t="str">
        <f>IFERROR(__xludf.DUMMYFUNCTION("""COMPUTED_VALUE"""),"DADABOI")</f>
        <v>DADABOI</v>
      </c>
      <c r="C349" s="59" t="str">
        <f>IFERROR(__xludf.DUMMYFUNCTION("""COMPUTED_VALUE"""),"KAYKAY")</f>
        <v>KAYKAY</v>
      </c>
      <c r="D349" s="59">
        <f>IFERROR(__xludf.DUMMYFUNCTION("""COMPUTED_VALUE"""),3.0)</f>
        <v>3</v>
      </c>
      <c r="E349" s="59">
        <f>IFERROR(__xludf.DUMMYFUNCTION("""COMPUTED_VALUE"""),4.0)</f>
        <v>4</v>
      </c>
      <c r="F349" s="59">
        <f>IFERROR(__xludf.DUMMYFUNCTION("""COMPUTED_VALUE"""),0.0)</f>
        <v>0</v>
      </c>
      <c r="G349" s="59">
        <f>IFERROR(__xludf.DUMMYFUNCTION("""COMPUTED_VALUE"""),0.0)</f>
        <v>0</v>
      </c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>
      <c r="A350" s="84">
        <f>IFERROR(__xludf.DUMMYFUNCTION("""COMPUTED_VALUE"""),46082.0)</f>
        <v>46082</v>
      </c>
      <c r="B350" s="59" t="str">
        <f>IFERROR(__xludf.DUMMYFUNCTION("""COMPUTED_VALUE"""),"SIMPLYY UZO")</f>
        <v>SIMPLYY UZO</v>
      </c>
      <c r="C350" s="59" t="str">
        <f>IFERROR(__xludf.DUMMYFUNCTION("""COMPUTED_VALUE"""),"FLICK")</f>
        <v>FLICK</v>
      </c>
      <c r="D350" s="59">
        <f>IFERROR(__xludf.DUMMYFUNCTION("""COMPUTED_VALUE"""),3.0)</f>
        <v>3</v>
      </c>
      <c r="E350" s="59">
        <f>IFERROR(__xludf.DUMMYFUNCTION("""COMPUTED_VALUE"""),0.0)</f>
        <v>0</v>
      </c>
      <c r="F350" s="59">
        <f>IFERROR(__xludf.DUMMYFUNCTION("""COMPUTED_VALUE"""),1.0)</f>
        <v>1</v>
      </c>
      <c r="G350" s="59">
        <f>IFERROR(__xludf.DUMMYFUNCTION("""COMPUTED_VALUE"""),3.0)</f>
        <v>3</v>
      </c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>
      <c r="A351" s="84">
        <f>IFERROR(__xludf.DUMMYFUNCTION("""COMPUTED_VALUE"""),46082.0)</f>
        <v>46082</v>
      </c>
      <c r="B351" s="59" t="str">
        <f>IFERROR(__xludf.DUMMYFUNCTION("""COMPUTED_VALUE"""),"SON OF GOD")</f>
        <v>SON OF GOD</v>
      </c>
      <c r="C351" s="59" t="str">
        <f>IFERROR(__xludf.DUMMYFUNCTION("""COMPUTED_VALUE"""),"DRACARYS")</f>
        <v>DRACARYS</v>
      </c>
      <c r="D351" s="59">
        <f>IFERROR(__xludf.DUMMYFUNCTION("""COMPUTED_VALUE"""),1.0)</f>
        <v>1</v>
      </c>
      <c r="E351" s="59">
        <f>IFERROR(__xludf.DUMMYFUNCTION("""COMPUTED_VALUE"""),2.0)</f>
        <v>2</v>
      </c>
      <c r="F351" s="59">
        <f>IFERROR(__xludf.DUMMYFUNCTION("""COMPUTED_VALUE"""),0.0)</f>
        <v>0</v>
      </c>
      <c r="G351" s="59">
        <f>IFERROR(__xludf.DUMMYFUNCTION("""COMPUTED_VALUE"""),0.0)</f>
        <v>0</v>
      </c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>
      <c r="A352" s="84">
        <f>IFERROR(__xludf.DUMMYFUNCTION("""COMPUTED_VALUE"""),46082.0)</f>
        <v>46082</v>
      </c>
      <c r="B352" s="59" t="str">
        <f>IFERROR(__xludf.DUMMYFUNCTION("""COMPUTED_VALUE"""),"KHALEEDOY")</f>
        <v>KHALEEDOY</v>
      </c>
      <c r="C352" s="59" t="str">
        <f>IFERROR(__xludf.DUMMYFUNCTION("""COMPUTED_VALUE"""),"DRACARYS")</f>
        <v>DRACARYS</v>
      </c>
      <c r="D352" s="59">
        <f>IFERROR(__xludf.DUMMYFUNCTION("""COMPUTED_VALUE"""),3.0)</f>
        <v>3</v>
      </c>
      <c r="E352" s="59">
        <f>IFERROR(__xludf.DUMMYFUNCTION("""COMPUTED_VALUE"""),4.0)</f>
        <v>4</v>
      </c>
      <c r="F352" s="59">
        <f>IFERROR(__xludf.DUMMYFUNCTION("""COMPUTED_VALUE"""),0.0)</f>
        <v>0</v>
      </c>
      <c r="G352" s="59">
        <f>IFERROR(__xludf.DUMMYFUNCTION("""COMPUTED_VALUE"""),0.0)</f>
        <v>0</v>
      </c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>
      <c r="A353" s="84">
        <f>IFERROR(__xludf.DUMMYFUNCTION("""COMPUTED_VALUE"""),46082.0)</f>
        <v>46082</v>
      </c>
      <c r="B353" s="59" t="str">
        <f>IFERROR(__xludf.DUMMYFUNCTION("""COMPUTED_VALUE"""),"MR OGA")</f>
        <v>MR OGA</v>
      </c>
      <c r="C353" s="59" t="str">
        <f>IFERROR(__xludf.DUMMYFUNCTION("""COMPUTED_VALUE"""),"RHYMEZ")</f>
        <v>RHYMEZ</v>
      </c>
      <c r="D353" s="59">
        <f>IFERROR(__xludf.DUMMYFUNCTION("""COMPUTED_VALUE"""),3.0)</f>
        <v>3</v>
      </c>
      <c r="E353" s="59">
        <f>IFERROR(__xludf.DUMMYFUNCTION("""COMPUTED_VALUE"""),4.0)</f>
        <v>4</v>
      </c>
      <c r="F353" s="59">
        <f>IFERROR(__xludf.DUMMYFUNCTION("""COMPUTED_VALUE"""),0.0)</f>
        <v>0</v>
      </c>
      <c r="G353" s="59">
        <f>IFERROR(__xludf.DUMMYFUNCTION("""COMPUTED_VALUE"""),0.0)</f>
        <v>0</v>
      </c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>
      <c r="A354" s="84">
        <f>IFERROR(__xludf.DUMMYFUNCTION("""COMPUTED_VALUE"""),46082.0)</f>
        <v>46082</v>
      </c>
      <c r="B354" s="59" t="str">
        <f>IFERROR(__xludf.DUMMYFUNCTION("""COMPUTED_VALUE"""),"DADABOI")</f>
        <v>DADABOI</v>
      </c>
      <c r="C354" s="59" t="str">
        <f>IFERROR(__xludf.DUMMYFUNCTION("""COMPUTED_VALUE"""),"TACTICAL")</f>
        <v>TACTICAL</v>
      </c>
      <c r="D354" s="59">
        <f>IFERROR(__xludf.DUMMYFUNCTION("""COMPUTED_VALUE"""),6.0)</f>
        <v>6</v>
      </c>
      <c r="E354" s="59">
        <f>IFERROR(__xludf.DUMMYFUNCTION("""COMPUTED_VALUE"""),5.0)</f>
        <v>5</v>
      </c>
      <c r="F354" s="59">
        <f>IFERROR(__xludf.DUMMYFUNCTION("""COMPUTED_VALUE"""),1.0)</f>
        <v>1</v>
      </c>
      <c r="G354" s="59">
        <f>IFERROR(__xludf.DUMMYFUNCTION("""COMPUTED_VALUE"""),3.0)</f>
        <v>3</v>
      </c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>
      <c r="A355" s="84">
        <f>IFERROR(__xludf.DUMMYFUNCTION("""COMPUTED_VALUE"""),46088.0)</f>
        <v>46088</v>
      </c>
      <c r="B355" s="59" t="str">
        <f>IFERROR(__xludf.DUMMYFUNCTION("""COMPUTED_VALUE"""),"GURU")</f>
        <v>GURU</v>
      </c>
      <c r="C355" s="59" t="str">
        <f>IFERROR(__xludf.DUMMYFUNCTION("""COMPUTED_VALUE"""),"DADABOI")</f>
        <v>DADABOI</v>
      </c>
      <c r="D355" s="59">
        <f>IFERROR(__xludf.DUMMYFUNCTION("""COMPUTED_VALUE"""),4.0)</f>
        <v>4</v>
      </c>
      <c r="E355" s="59">
        <f>IFERROR(__xludf.DUMMYFUNCTION("""COMPUTED_VALUE"""),3.0)</f>
        <v>3</v>
      </c>
      <c r="F355" s="59">
        <f>IFERROR(__xludf.DUMMYFUNCTION("""COMPUTED_VALUE"""),1.0)</f>
        <v>1</v>
      </c>
      <c r="G355" s="59">
        <f>IFERROR(__xludf.DUMMYFUNCTION("""COMPUTED_VALUE"""),3.0)</f>
        <v>3</v>
      </c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>
      <c r="A356" s="84">
        <f>IFERROR(__xludf.DUMMYFUNCTION("""COMPUTED_VALUE"""),46088.0)</f>
        <v>46088</v>
      </c>
      <c r="B356" s="59" t="str">
        <f>IFERROR(__xludf.DUMMYFUNCTION("""COMPUTED_VALUE"""),"FLICK")</f>
        <v>FLICK</v>
      </c>
      <c r="C356" s="59" t="str">
        <f>IFERROR(__xludf.DUMMYFUNCTION("""COMPUTED_VALUE"""),"RHYMEZ")</f>
        <v>RHYMEZ</v>
      </c>
      <c r="D356" s="59">
        <f>IFERROR(__xludf.DUMMYFUNCTION("""COMPUTED_VALUE"""),2.0)</f>
        <v>2</v>
      </c>
      <c r="E356" s="59">
        <f>IFERROR(__xludf.DUMMYFUNCTION("""COMPUTED_VALUE"""),7.0)</f>
        <v>7</v>
      </c>
      <c r="F356" s="59">
        <f>IFERROR(__xludf.DUMMYFUNCTION("""COMPUTED_VALUE"""),0.0)</f>
        <v>0</v>
      </c>
      <c r="G356" s="59">
        <f>IFERROR(__xludf.DUMMYFUNCTION("""COMPUTED_VALUE"""),0.0)</f>
        <v>0</v>
      </c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>
      <c r="A357" s="84">
        <f>IFERROR(__xludf.DUMMYFUNCTION("""COMPUTED_VALUE"""),46088.0)</f>
        <v>46088</v>
      </c>
      <c r="B357" s="59" t="str">
        <f>IFERROR(__xludf.DUMMYFUNCTION("""COMPUTED_VALUE"""),"SON OF GOD")</f>
        <v>SON OF GOD</v>
      </c>
      <c r="C357" s="59" t="str">
        <f>IFERROR(__xludf.DUMMYFUNCTION("""COMPUTED_VALUE"""),"KINGNONEX")</f>
        <v>KINGNONEX</v>
      </c>
      <c r="D357" s="59">
        <f>IFERROR(__xludf.DUMMYFUNCTION("""COMPUTED_VALUE"""),0.0)</f>
        <v>0</v>
      </c>
      <c r="E357" s="59">
        <f>IFERROR(__xludf.DUMMYFUNCTION("""COMPUTED_VALUE"""),3.0)</f>
        <v>3</v>
      </c>
      <c r="F357" s="59">
        <f>IFERROR(__xludf.DUMMYFUNCTION("""COMPUTED_VALUE"""),0.0)</f>
        <v>0</v>
      </c>
      <c r="G357" s="59">
        <f>IFERROR(__xludf.DUMMYFUNCTION("""COMPUTED_VALUE"""),0.0)</f>
        <v>0</v>
      </c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>
      <c r="A358" s="84">
        <f>IFERROR(__xludf.DUMMYFUNCTION("""COMPUTED_VALUE"""),46088.0)</f>
        <v>46088</v>
      </c>
      <c r="B358" s="59" t="str">
        <f>IFERROR(__xludf.DUMMYFUNCTION("""COMPUTED_VALUE"""),"SIMPLYY UZO")</f>
        <v>SIMPLYY UZO</v>
      </c>
      <c r="C358" s="59" t="str">
        <f>IFERROR(__xludf.DUMMYFUNCTION("""COMPUTED_VALUE"""),"BLAISE99")</f>
        <v>BLAISE99</v>
      </c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>
      <c r="A359" s="84">
        <f>IFERROR(__xludf.DUMMYFUNCTION("""COMPUTED_VALUE"""),46088.0)</f>
        <v>46088</v>
      </c>
      <c r="B359" s="59" t="str">
        <f>IFERROR(__xludf.DUMMYFUNCTION("""COMPUTED_VALUE"""),"MR OGA")</f>
        <v>MR OGA</v>
      </c>
      <c r="C359" s="59" t="str">
        <f>IFERROR(__xludf.DUMMYFUNCTION("""COMPUTED_VALUE"""),"DRACARYS")</f>
        <v>DRACARYS</v>
      </c>
      <c r="D359" s="59">
        <f>IFERROR(__xludf.DUMMYFUNCTION("""COMPUTED_VALUE"""),8.0)</f>
        <v>8</v>
      </c>
      <c r="E359" s="59">
        <f>IFERROR(__xludf.DUMMYFUNCTION("""COMPUTED_VALUE"""),6.0)</f>
        <v>6</v>
      </c>
      <c r="F359" s="59">
        <f>IFERROR(__xludf.DUMMYFUNCTION("""COMPUTED_VALUE"""),1.0)</f>
        <v>1</v>
      </c>
      <c r="G359" s="59">
        <f>IFERROR(__xludf.DUMMYFUNCTION("""COMPUTED_VALUE"""),3.0)</f>
        <v>3</v>
      </c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>
      <c r="A360" s="84">
        <f>IFERROR(__xludf.DUMMYFUNCTION("""COMPUTED_VALUE"""),46088.0)</f>
        <v>46088</v>
      </c>
      <c r="B360" s="59" t="str">
        <f>IFERROR(__xludf.DUMMYFUNCTION("""COMPUTED_VALUE"""),"BALO K")</f>
        <v>BALO K</v>
      </c>
      <c r="C360" s="59" t="str">
        <f>IFERROR(__xludf.DUMMYFUNCTION("""COMPUTED_VALUE"""),"DADABOI")</f>
        <v>DADABOI</v>
      </c>
      <c r="D360" s="59">
        <f>IFERROR(__xludf.DUMMYFUNCTION("""COMPUTED_VALUE"""),1.0)</f>
        <v>1</v>
      </c>
      <c r="E360" s="59">
        <f>IFERROR(__xludf.DUMMYFUNCTION("""COMPUTED_VALUE"""),9.0)</f>
        <v>9</v>
      </c>
      <c r="F360" s="59">
        <f>IFERROR(__xludf.DUMMYFUNCTION("""COMPUTED_VALUE"""),0.0)</f>
        <v>0</v>
      </c>
      <c r="G360" s="59">
        <f>IFERROR(__xludf.DUMMYFUNCTION("""COMPUTED_VALUE"""),0.0)</f>
        <v>0</v>
      </c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>
      <c r="A361" s="84">
        <f>IFERROR(__xludf.DUMMYFUNCTION("""COMPUTED_VALUE"""),46088.0)</f>
        <v>46088</v>
      </c>
      <c r="B361" s="59" t="str">
        <f>IFERROR(__xludf.DUMMYFUNCTION("""COMPUTED_VALUE"""),"YEMOLEE")</f>
        <v>YEMOLEE</v>
      </c>
      <c r="C361" s="59" t="str">
        <f>IFERROR(__xludf.DUMMYFUNCTION("""COMPUTED_VALUE"""),"ANIFE")</f>
        <v>ANIFE</v>
      </c>
      <c r="D361" s="59">
        <f>IFERROR(__xludf.DUMMYFUNCTION("""COMPUTED_VALUE"""),6.0)</f>
        <v>6</v>
      </c>
      <c r="E361" s="59">
        <f>IFERROR(__xludf.DUMMYFUNCTION("""COMPUTED_VALUE"""),6.0)</f>
        <v>6</v>
      </c>
      <c r="F361" s="59">
        <f>IFERROR(__xludf.DUMMYFUNCTION("""COMPUTED_VALUE"""),0.0)</f>
        <v>0</v>
      </c>
      <c r="G361" s="59">
        <f>IFERROR(__xludf.DUMMYFUNCTION("""COMPUTED_VALUE"""),1.0)</f>
        <v>1</v>
      </c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>
      <c r="A362" s="84">
        <f>IFERROR(__xludf.DUMMYFUNCTION("""COMPUTED_VALUE"""),46088.0)</f>
        <v>46088</v>
      </c>
      <c r="B362" s="59" t="str">
        <f>IFERROR(__xludf.DUMMYFUNCTION("""COMPUTED_VALUE"""),"TACTICAL")</f>
        <v>TACTICAL</v>
      </c>
      <c r="C362" s="59" t="str">
        <f>IFERROR(__xludf.DUMMYFUNCTION("""COMPUTED_VALUE"""),"BRIGHT")</f>
        <v>BRIGHT</v>
      </c>
      <c r="D362" s="59">
        <f>IFERROR(__xludf.DUMMYFUNCTION("""COMPUTED_VALUE"""),6.0)</f>
        <v>6</v>
      </c>
      <c r="E362" s="59">
        <f>IFERROR(__xludf.DUMMYFUNCTION("""COMPUTED_VALUE"""),3.0)</f>
        <v>3</v>
      </c>
      <c r="F362" s="59">
        <f>IFERROR(__xludf.DUMMYFUNCTION("""COMPUTED_VALUE"""),1.0)</f>
        <v>1</v>
      </c>
      <c r="G362" s="59">
        <f>IFERROR(__xludf.DUMMYFUNCTION("""COMPUTED_VALUE"""),3.0)</f>
        <v>3</v>
      </c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>
      <c r="A363" s="84">
        <f>IFERROR(__xludf.DUMMYFUNCTION("""COMPUTED_VALUE"""),46088.0)</f>
        <v>46088</v>
      </c>
      <c r="B363" s="59" t="str">
        <f>IFERROR(__xludf.DUMMYFUNCTION("""COMPUTED_VALUE"""),"GURU")</f>
        <v>GURU</v>
      </c>
      <c r="C363" s="59" t="str">
        <f>IFERROR(__xludf.DUMMYFUNCTION("""COMPUTED_VALUE"""),"WOLEVATION")</f>
        <v>WOLEVATION</v>
      </c>
      <c r="D363" s="59">
        <f>IFERROR(__xludf.DUMMYFUNCTION("""COMPUTED_VALUE"""),5.0)</f>
        <v>5</v>
      </c>
      <c r="E363" s="59">
        <f>IFERROR(__xludf.DUMMYFUNCTION("""COMPUTED_VALUE"""),4.0)</f>
        <v>4</v>
      </c>
      <c r="F363" s="59">
        <f>IFERROR(__xludf.DUMMYFUNCTION("""COMPUTED_VALUE"""),1.0)</f>
        <v>1</v>
      </c>
      <c r="G363" s="59">
        <f>IFERROR(__xludf.DUMMYFUNCTION("""COMPUTED_VALUE"""),3.0)</f>
        <v>3</v>
      </c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>
      <c r="A364" s="84">
        <f>IFERROR(__xludf.DUMMYFUNCTION("""COMPUTED_VALUE"""),46088.0)</f>
        <v>46088</v>
      </c>
      <c r="B364" s="59" t="str">
        <f>IFERROR(__xludf.DUMMYFUNCTION("""COMPUTED_VALUE"""),"KINGNONEX")</f>
        <v>KINGNONEX</v>
      </c>
      <c r="C364" s="59" t="str">
        <f>IFERROR(__xludf.DUMMYFUNCTION("""COMPUTED_VALUE"""),"FLICK")</f>
        <v>FLICK</v>
      </c>
      <c r="D364" s="59">
        <f>IFERROR(__xludf.DUMMYFUNCTION("""COMPUTED_VALUE"""),10.0)</f>
        <v>10</v>
      </c>
      <c r="E364" s="59">
        <f>IFERROR(__xludf.DUMMYFUNCTION("""COMPUTED_VALUE"""),1.0)</f>
        <v>1</v>
      </c>
      <c r="F364" s="59">
        <f>IFERROR(__xludf.DUMMYFUNCTION("""COMPUTED_VALUE"""),1.0)</f>
        <v>1</v>
      </c>
      <c r="G364" s="59">
        <f>IFERROR(__xludf.DUMMYFUNCTION("""COMPUTED_VALUE"""),3.0)</f>
        <v>3</v>
      </c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>
      <c r="A365" s="84">
        <f>IFERROR(__xludf.DUMMYFUNCTION("""COMPUTED_VALUE"""),46088.0)</f>
        <v>46088</v>
      </c>
      <c r="B365" s="59" t="str">
        <f>IFERROR(__xludf.DUMMYFUNCTION("""COMPUTED_VALUE"""),"TACTICAL")</f>
        <v>TACTICAL</v>
      </c>
      <c r="C365" s="59" t="str">
        <f>IFERROR(__xludf.DUMMYFUNCTION("""COMPUTED_VALUE"""),"YEMOLEE")</f>
        <v>YEMOLEE</v>
      </c>
      <c r="D365" s="59">
        <f>IFERROR(__xludf.DUMMYFUNCTION("""COMPUTED_VALUE"""),4.0)</f>
        <v>4</v>
      </c>
      <c r="E365" s="59">
        <f>IFERROR(__xludf.DUMMYFUNCTION("""COMPUTED_VALUE"""),4.0)</f>
        <v>4</v>
      </c>
      <c r="F365" s="59">
        <f>IFERROR(__xludf.DUMMYFUNCTION("""COMPUTED_VALUE"""),0.0)</f>
        <v>0</v>
      </c>
      <c r="G365" s="59">
        <f>IFERROR(__xludf.DUMMYFUNCTION("""COMPUTED_VALUE"""),1.0)</f>
        <v>1</v>
      </c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>
      <c r="A366" s="84">
        <f>IFERROR(__xludf.DUMMYFUNCTION("""COMPUTED_VALUE"""),46088.0)</f>
        <v>46088</v>
      </c>
      <c r="B366" s="59" t="str">
        <f>IFERROR(__xludf.DUMMYFUNCTION("""COMPUTED_VALUE"""),"DRACARYS")</f>
        <v>DRACARYS</v>
      </c>
      <c r="C366" s="59" t="str">
        <f>IFERROR(__xludf.DUMMYFUNCTION("""COMPUTED_VALUE"""),"BALO K")</f>
        <v>BALO K</v>
      </c>
      <c r="D366" s="59">
        <f>IFERROR(__xludf.DUMMYFUNCTION("""COMPUTED_VALUE"""),7.0)</f>
        <v>7</v>
      </c>
      <c r="E366" s="59">
        <f>IFERROR(__xludf.DUMMYFUNCTION("""COMPUTED_VALUE"""),3.0)</f>
        <v>3</v>
      </c>
      <c r="F366" s="59">
        <f>IFERROR(__xludf.DUMMYFUNCTION("""COMPUTED_VALUE"""),1.0)</f>
        <v>1</v>
      </c>
      <c r="G366" s="59">
        <f>IFERROR(__xludf.DUMMYFUNCTION("""COMPUTED_VALUE"""),3.0)</f>
        <v>3</v>
      </c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>
      <c r="A367" s="84">
        <f>IFERROR(__xludf.DUMMYFUNCTION("""COMPUTED_VALUE"""),46088.0)</f>
        <v>46088</v>
      </c>
      <c r="B367" s="59" t="str">
        <f>IFERROR(__xludf.DUMMYFUNCTION("""COMPUTED_VALUE"""),"KAYKAY")</f>
        <v>KAYKAY</v>
      </c>
      <c r="C367" s="59" t="str">
        <f>IFERROR(__xludf.DUMMYFUNCTION("""COMPUTED_VALUE"""),"WOLEVATION")</f>
        <v>WOLEVATION</v>
      </c>
      <c r="D367" s="59">
        <f>IFERROR(__xludf.DUMMYFUNCTION("""COMPUTED_VALUE"""),4.0)</f>
        <v>4</v>
      </c>
      <c r="E367" s="59">
        <f>IFERROR(__xludf.DUMMYFUNCTION("""COMPUTED_VALUE"""),3.0)</f>
        <v>3</v>
      </c>
      <c r="F367" s="59">
        <f>IFERROR(__xludf.DUMMYFUNCTION("""COMPUTED_VALUE"""),1.0)</f>
        <v>1</v>
      </c>
      <c r="G367" s="59">
        <f>IFERROR(__xludf.DUMMYFUNCTION("""COMPUTED_VALUE"""),3.0)</f>
        <v>3</v>
      </c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>
      <c r="A368" s="84">
        <f>IFERROR(__xludf.DUMMYFUNCTION("""COMPUTED_VALUE"""),46088.0)</f>
        <v>46088</v>
      </c>
      <c r="B368" s="59" t="str">
        <f>IFERROR(__xludf.DUMMYFUNCTION("""COMPUTED_VALUE"""),"KAYKAY")</f>
        <v>KAYKAY</v>
      </c>
      <c r="C368" s="59" t="str">
        <f>IFERROR(__xludf.DUMMYFUNCTION("""COMPUTED_VALUE"""),"BAJI SNR")</f>
        <v>BAJI SNR</v>
      </c>
      <c r="D368" s="59">
        <f>IFERROR(__xludf.DUMMYFUNCTION("""COMPUTED_VALUE"""),3.0)</f>
        <v>3</v>
      </c>
      <c r="E368" s="59">
        <f>IFERROR(__xludf.DUMMYFUNCTION("""COMPUTED_VALUE"""),0.0)</f>
        <v>0</v>
      </c>
      <c r="F368" s="59">
        <f>IFERROR(__xludf.DUMMYFUNCTION("""COMPUTED_VALUE"""),1.0)</f>
        <v>1</v>
      </c>
      <c r="G368" s="59">
        <f>IFERROR(__xludf.DUMMYFUNCTION("""COMPUTED_VALUE"""),3.0)</f>
        <v>3</v>
      </c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>
      <c r="A369" s="84">
        <f>IFERROR(__xludf.DUMMYFUNCTION("""COMPUTED_VALUE"""),46089.0)</f>
        <v>46089</v>
      </c>
      <c r="B369" s="59" t="str">
        <f>IFERROR(__xludf.DUMMYFUNCTION("""COMPUTED_VALUE"""),"DADABOI")</f>
        <v>DADABOI</v>
      </c>
      <c r="C369" s="59" t="str">
        <f>IFERROR(__xludf.DUMMYFUNCTION("""COMPUTED_VALUE"""),"BAJI SNR")</f>
        <v>BAJI SNR</v>
      </c>
      <c r="D369" s="59">
        <f>IFERROR(__xludf.DUMMYFUNCTION("""COMPUTED_VALUE"""),3.0)</f>
        <v>3</v>
      </c>
      <c r="E369" s="59">
        <f>IFERROR(__xludf.DUMMYFUNCTION("""COMPUTED_VALUE"""),0.0)</f>
        <v>0</v>
      </c>
      <c r="F369" s="59">
        <f>IFERROR(__xludf.DUMMYFUNCTION("""COMPUTED_VALUE"""),1.0)</f>
        <v>1</v>
      </c>
      <c r="G369" s="59">
        <f>IFERROR(__xludf.DUMMYFUNCTION("""COMPUTED_VALUE"""),3.0)</f>
        <v>3</v>
      </c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>
      <c r="A370" s="84">
        <f>IFERROR(__xludf.DUMMYFUNCTION("""COMPUTED_VALUE"""),46089.0)</f>
        <v>46089</v>
      </c>
      <c r="B370" s="59" t="str">
        <f>IFERROR(__xludf.DUMMYFUNCTION("""COMPUTED_VALUE"""),"TACTICAL")</f>
        <v>TACTICAL</v>
      </c>
      <c r="C370" s="59" t="str">
        <f>IFERROR(__xludf.DUMMYFUNCTION("""COMPUTED_VALUE"""),"DRACARYS")</f>
        <v>DRACARYS</v>
      </c>
      <c r="D370" s="59">
        <f>IFERROR(__xludf.DUMMYFUNCTION("""COMPUTED_VALUE"""),5.0)</f>
        <v>5</v>
      </c>
      <c r="E370" s="59">
        <f>IFERROR(__xludf.DUMMYFUNCTION("""COMPUTED_VALUE"""),6.0)</f>
        <v>6</v>
      </c>
      <c r="F370" s="59">
        <f>IFERROR(__xludf.DUMMYFUNCTION("""COMPUTED_VALUE"""),0.0)</f>
        <v>0</v>
      </c>
      <c r="G370" s="59">
        <f>IFERROR(__xludf.DUMMYFUNCTION("""COMPUTED_VALUE"""),0.0)</f>
        <v>0</v>
      </c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>
      <c r="A371" s="84">
        <f>IFERROR(__xludf.DUMMYFUNCTION("""COMPUTED_VALUE"""),46089.0)</f>
        <v>46089</v>
      </c>
      <c r="B371" s="59" t="str">
        <f>IFERROR(__xludf.DUMMYFUNCTION("""COMPUTED_VALUE"""),"ANIFE")</f>
        <v>ANIFE</v>
      </c>
      <c r="C371" s="59" t="str">
        <f>IFERROR(__xludf.DUMMYFUNCTION("""COMPUTED_VALUE"""),"KHALEEDOY")</f>
        <v>KHALEEDOY</v>
      </c>
      <c r="D371" s="59">
        <f>IFERROR(__xludf.DUMMYFUNCTION("""COMPUTED_VALUE"""),3.0)</f>
        <v>3</v>
      </c>
      <c r="E371" s="59">
        <f>IFERROR(__xludf.DUMMYFUNCTION("""COMPUTED_VALUE"""),0.0)</f>
        <v>0</v>
      </c>
      <c r="F371" s="59">
        <f>IFERROR(__xludf.DUMMYFUNCTION("""COMPUTED_VALUE"""),1.0)</f>
        <v>1</v>
      </c>
      <c r="G371" s="59">
        <f>IFERROR(__xludf.DUMMYFUNCTION("""COMPUTED_VALUE"""),3.0)</f>
        <v>3</v>
      </c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>
      <c r="A372" s="84">
        <f>IFERROR(__xludf.DUMMYFUNCTION("""COMPUTED_VALUE"""),46089.0)</f>
        <v>46089</v>
      </c>
      <c r="B372" s="59" t="str">
        <f>IFERROR(__xludf.DUMMYFUNCTION("""COMPUTED_VALUE"""),"GAMEWITHJOSH")</f>
        <v>GAMEWITHJOSH</v>
      </c>
      <c r="C372" s="59" t="str">
        <f>IFERROR(__xludf.DUMMYFUNCTION("""COMPUTED_VALUE"""),"GURU")</f>
        <v>GURU</v>
      </c>
      <c r="D372" s="59">
        <f>IFERROR(__xludf.DUMMYFUNCTION("""COMPUTED_VALUE"""),5.0)</f>
        <v>5</v>
      </c>
      <c r="E372" s="59">
        <f>IFERROR(__xludf.DUMMYFUNCTION("""COMPUTED_VALUE"""),7.0)</f>
        <v>7</v>
      </c>
      <c r="F372" s="59">
        <f>IFERROR(__xludf.DUMMYFUNCTION("""COMPUTED_VALUE"""),0.0)</f>
        <v>0</v>
      </c>
      <c r="G372" s="59">
        <f>IFERROR(__xludf.DUMMYFUNCTION("""COMPUTED_VALUE"""),0.0)</f>
        <v>0</v>
      </c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>
      <c r="A373" s="84">
        <f>IFERROR(__xludf.DUMMYFUNCTION("""COMPUTED_VALUE"""),46089.0)</f>
        <v>46089</v>
      </c>
      <c r="B373" s="59" t="str">
        <f>IFERROR(__xludf.DUMMYFUNCTION("""COMPUTED_VALUE"""),"BRIGHT")</f>
        <v>BRIGHT</v>
      </c>
      <c r="C373" s="59" t="str">
        <f>IFERROR(__xludf.DUMMYFUNCTION("""COMPUTED_VALUE"""),"FLICK")</f>
        <v>FLICK</v>
      </c>
      <c r="D373" s="59">
        <f>IFERROR(__xludf.DUMMYFUNCTION("""COMPUTED_VALUE"""),4.0)</f>
        <v>4</v>
      </c>
      <c r="E373" s="59">
        <f>IFERROR(__xludf.DUMMYFUNCTION("""COMPUTED_VALUE"""),5.0)</f>
        <v>5</v>
      </c>
      <c r="F373" s="59">
        <f>IFERROR(__xludf.DUMMYFUNCTION("""COMPUTED_VALUE"""),0.0)</f>
        <v>0</v>
      </c>
      <c r="G373" s="59">
        <f>IFERROR(__xludf.DUMMYFUNCTION("""COMPUTED_VALUE"""),0.0)</f>
        <v>0</v>
      </c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>
      <c r="A374" s="84">
        <f>IFERROR(__xludf.DUMMYFUNCTION("""COMPUTED_VALUE"""),46089.0)</f>
        <v>46089</v>
      </c>
      <c r="B374" s="59" t="str">
        <f>IFERROR(__xludf.DUMMYFUNCTION("""COMPUTED_VALUE"""),"MR OGA")</f>
        <v>MR OGA</v>
      </c>
      <c r="C374" s="59" t="str">
        <f>IFERROR(__xludf.DUMMYFUNCTION("""COMPUTED_VALUE"""),"WOLEVATION")</f>
        <v>WOLEVATION</v>
      </c>
      <c r="D374" s="59">
        <f>IFERROR(__xludf.DUMMYFUNCTION("""COMPUTED_VALUE"""),6.0)</f>
        <v>6</v>
      </c>
      <c r="E374" s="59">
        <f>IFERROR(__xludf.DUMMYFUNCTION("""COMPUTED_VALUE"""),6.0)</f>
        <v>6</v>
      </c>
      <c r="F374" s="59">
        <f>IFERROR(__xludf.DUMMYFUNCTION("""COMPUTED_VALUE"""),0.0)</f>
        <v>0</v>
      </c>
      <c r="G374" s="59">
        <f>IFERROR(__xludf.DUMMYFUNCTION("""COMPUTED_VALUE"""),1.0)</f>
        <v>1</v>
      </c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>
      <c r="A375" s="84">
        <f>IFERROR(__xludf.DUMMYFUNCTION("""COMPUTED_VALUE"""),46089.0)</f>
        <v>46089</v>
      </c>
      <c r="B375" s="59" t="str">
        <f>IFERROR(__xludf.DUMMYFUNCTION("""COMPUTED_VALUE"""),"SIMPLYY UZO")</f>
        <v>SIMPLYY UZO</v>
      </c>
      <c r="C375" s="59" t="str">
        <f>IFERROR(__xludf.DUMMYFUNCTION("""COMPUTED_VALUE"""),"SON OF GOD")</f>
        <v>SON OF GOD</v>
      </c>
      <c r="D375" s="59">
        <f>IFERROR(__xludf.DUMMYFUNCTION("""COMPUTED_VALUE"""),0.0)</f>
        <v>0</v>
      </c>
      <c r="E375" s="59">
        <f>IFERROR(__xludf.DUMMYFUNCTION("""COMPUTED_VALUE"""),3.0)</f>
        <v>3</v>
      </c>
      <c r="F375" s="59">
        <f>IFERROR(__xludf.DUMMYFUNCTION("""COMPUTED_VALUE"""),0.0)</f>
        <v>0</v>
      </c>
      <c r="G375" s="59">
        <f>IFERROR(__xludf.DUMMYFUNCTION("""COMPUTED_VALUE"""),0.0)</f>
        <v>0</v>
      </c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>
      <c r="A376" s="84">
        <f>IFERROR(__xludf.DUMMYFUNCTION("""COMPUTED_VALUE"""),46089.0)</f>
        <v>46089</v>
      </c>
      <c r="B376" s="59" t="str">
        <f>IFERROR(__xludf.DUMMYFUNCTION("""COMPUTED_VALUE"""),"BALO K")</f>
        <v>BALO K</v>
      </c>
      <c r="C376" s="59" t="str">
        <f>IFERROR(__xludf.DUMMYFUNCTION("""COMPUTED_VALUE"""),"BLAISE99")</f>
        <v>BLAISE99</v>
      </c>
      <c r="D376" s="59">
        <f>IFERROR(__xludf.DUMMYFUNCTION("""COMPUTED_VALUE"""),3.0)</f>
        <v>3</v>
      </c>
      <c r="E376" s="59">
        <f>IFERROR(__xludf.DUMMYFUNCTION("""COMPUTED_VALUE"""),0.0)</f>
        <v>0</v>
      </c>
      <c r="F376" s="59">
        <f>IFERROR(__xludf.DUMMYFUNCTION("""COMPUTED_VALUE"""),1.0)</f>
        <v>1</v>
      </c>
      <c r="G376" s="59">
        <f>IFERROR(__xludf.DUMMYFUNCTION("""COMPUTED_VALUE"""),3.0)</f>
        <v>3</v>
      </c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>
      <c r="A377" s="84">
        <f>IFERROR(__xludf.DUMMYFUNCTION("""COMPUTED_VALUE"""),46089.0)</f>
        <v>46089</v>
      </c>
      <c r="B377" s="59" t="str">
        <f>IFERROR(__xludf.DUMMYFUNCTION("""COMPUTED_VALUE"""),"SIMPLYY UZO")</f>
        <v>SIMPLYY UZO</v>
      </c>
      <c r="C377" s="59" t="str">
        <f>IFERROR(__xludf.DUMMYFUNCTION("""COMPUTED_VALUE"""),"GAMEWITHJOSH")</f>
        <v>GAMEWITHJOSH</v>
      </c>
      <c r="D377" s="59">
        <f>IFERROR(__xludf.DUMMYFUNCTION("""COMPUTED_VALUE"""),6.0)</f>
        <v>6</v>
      </c>
      <c r="E377" s="59">
        <f>IFERROR(__xludf.DUMMYFUNCTION("""COMPUTED_VALUE"""),5.0)</f>
        <v>5</v>
      </c>
      <c r="F377" s="59">
        <f>IFERROR(__xludf.DUMMYFUNCTION("""COMPUTED_VALUE"""),1.0)</f>
        <v>1</v>
      </c>
      <c r="G377" s="59">
        <f>IFERROR(__xludf.DUMMYFUNCTION("""COMPUTED_VALUE"""),3.0)</f>
        <v>3</v>
      </c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>
      <c r="A378" s="84">
        <f>IFERROR(__xludf.DUMMYFUNCTION("""COMPUTED_VALUE"""),46089.0)</f>
        <v>46089</v>
      </c>
      <c r="B378" s="59" t="str">
        <f>IFERROR(__xludf.DUMMYFUNCTION("""COMPUTED_VALUE"""),"RHYMEZ")</f>
        <v>RHYMEZ</v>
      </c>
      <c r="C378" s="59" t="str">
        <f>IFERROR(__xludf.DUMMYFUNCTION("""COMPUTED_VALUE"""),"KAYKAY")</f>
        <v>KAYKAY</v>
      </c>
      <c r="D378" s="59">
        <f>IFERROR(__xludf.DUMMYFUNCTION("""COMPUTED_VALUE"""),2.0)</f>
        <v>2</v>
      </c>
      <c r="E378" s="59">
        <f>IFERROR(__xludf.DUMMYFUNCTION("""COMPUTED_VALUE"""),7.0)</f>
        <v>7</v>
      </c>
      <c r="F378" s="59">
        <f>IFERROR(__xludf.DUMMYFUNCTION("""COMPUTED_VALUE"""),0.0)</f>
        <v>0</v>
      </c>
      <c r="G378" s="59">
        <f>IFERROR(__xludf.DUMMYFUNCTION("""COMPUTED_VALUE"""),0.0)</f>
        <v>0</v>
      </c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>
      <c r="A379" s="84">
        <f>IFERROR(__xludf.DUMMYFUNCTION("""COMPUTED_VALUE"""),46089.0)</f>
        <v>46089</v>
      </c>
      <c r="B379" s="59" t="str">
        <f>IFERROR(__xludf.DUMMYFUNCTION("""COMPUTED_VALUE"""),"YEMOLEE")</f>
        <v>YEMOLEE</v>
      </c>
      <c r="C379" s="59" t="str">
        <f>IFERROR(__xludf.DUMMYFUNCTION("""COMPUTED_VALUE"""),"KINGNONEX")</f>
        <v>KINGNONEX</v>
      </c>
      <c r="D379" s="59">
        <f>IFERROR(__xludf.DUMMYFUNCTION("""COMPUTED_VALUE"""),1.0)</f>
        <v>1</v>
      </c>
      <c r="E379" s="59">
        <f>IFERROR(__xludf.DUMMYFUNCTION("""COMPUTED_VALUE"""),4.0)</f>
        <v>4</v>
      </c>
      <c r="F379" s="59">
        <f>IFERROR(__xludf.DUMMYFUNCTION("""COMPUTED_VALUE"""),0.0)</f>
        <v>0</v>
      </c>
      <c r="G379" s="59">
        <f>IFERROR(__xludf.DUMMYFUNCTION("""COMPUTED_VALUE"""),0.0)</f>
        <v>0</v>
      </c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14"/>
    <col customWidth="1" min="5" max="5" width="39.14"/>
    <col customWidth="1" min="6" max="6" width="7.0"/>
    <col customWidth="1" min="7" max="7" width="27.43"/>
  </cols>
  <sheetData>
    <row r="1">
      <c r="A1" s="85" t="s">
        <v>117</v>
      </c>
      <c r="B1" s="85" t="s">
        <v>191</v>
      </c>
      <c r="C1" s="85" t="s">
        <v>142</v>
      </c>
      <c r="D1" s="85" t="s">
        <v>143</v>
      </c>
      <c r="E1" s="85" t="s">
        <v>144</v>
      </c>
      <c r="F1" s="86"/>
      <c r="G1" s="85" t="s">
        <v>192</v>
      </c>
      <c r="J1" s="86"/>
      <c r="K1" s="87" t="s">
        <v>193</v>
      </c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>
      <c r="A2" s="28" t="str">
        <f>IFERROR(__xludf.DUMMYFUNCTION("SORT(FILTER(Adjustments!A3:E1000, Adjustments!B3:B1000&lt;&gt;""""), 1, FALSE)"),"")</f>
        <v/>
      </c>
      <c r="B2" s="28" t="str">
        <f>IFERROR(__xludf.DUMMYFUNCTION("""COMPUTED_VALUE"""),"WOLEVATION")</f>
        <v>WOLEVATION</v>
      </c>
      <c r="C2" s="28" t="str">
        <f>IFERROR(__xludf.DUMMYFUNCTION("""COMPUTED_VALUE"""),"GF")</f>
        <v>GF</v>
      </c>
      <c r="D2" s="28">
        <f>IFERROR(__xludf.DUMMYFUNCTION("""COMPUTED_VALUE"""),-3.0)</f>
        <v>-3</v>
      </c>
      <c r="E2" s="28" t="str">
        <f>IFERROR(__xludf.DUMMYFUNCTION("""COMPUTED_VALUE"""),"Stood up mid match and quit, decided to leave.")</f>
        <v>Stood up mid match and quit, decided to leave.</v>
      </c>
      <c r="F2" s="28"/>
      <c r="G2" s="88" t="s">
        <v>141</v>
      </c>
      <c r="H2" s="88" t="s">
        <v>194</v>
      </c>
      <c r="I2" s="88" t="s">
        <v>195</v>
      </c>
      <c r="J2" s="28"/>
      <c r="K2" s="89" t="s">
        <v>142</v>
      </c>
      <c r="L2" s="90" t="s">
        <v>196</v>
      </c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28"/>
      <c r="B3" s="28"/>
      <c r="C3" s="28"/>
      <c r="D3" s="28"/>
      <c r="E3" s="28"/>
      <c r="F3" s="28"/>
      <c r="G3" s="28" t="str">
        <f>IFERROR(__xludf.DUMMYFUNCTION("SORT(UNIQUE(FILTER(Adjustments!B3:B1000, Adjustments!B3:B1000&lt;&gt;"""")))"),"WOLEVATION")</f>
        <v>WOLEVATION</v>
      </c>
      <c r="H3" s="28">
        <f>IF($G3="","",IFERROR(SUMIFS(Adjustments!$D:$D,Adjustments!$B:$B,$G3,Adjustments!$C:$C,"PTS"),0))</f>
        <v>0</v>
      </c>
      <c r="I3" s="28">
        <f>IF($G3="","",IFERROR(SUMIFS(Adjustments!$D:$D,Adjustments!$B:$B,$G3,Adjustments!$C:$C,"GD"),0))</f>
        <v>0</v>
      </c>
      <c r="J3" s="28"/>
      <c r="K3" s="28" t="str">
        <f>IFERROR(__xludf.DUMMYFUNCTION("QUERY(Adjustments!B3:D1000,
""select C, sum(D)
 where B is not null
 group by C
 label sum(D) ''"",
0)"),"GF")</f>
        <v>GF</v>
      </c>
      <c r="L3" s="28">
        <f>IFERROR(__xludf.DUMMYFUNCTION("""COMPUTED_VALUE"""),-3.0)</f>
        <v>-3</v>
      </c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8"/>
      <c r="B20" s="28"/>
      <c r="C20" s="28"/>
      <c r="D20" s="28"/>
      <c r="E20" s="28"/>
      <c r="F20" s="28"/>
      <c r="G20" s="91" t="s">
        <v>197</v>
      </c>
      <c r="H20" s="92"/>
      <c r="I20" s="92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28"/>
      <c r="B21" s="28"/>
      <c r="C21" s="28"/>
      <c r="D21" s="28"/>
      <c r="E21" s="28"/>
      <c r="F21" s="28"/>
      <c r="G21" s="93" t="s">
        <v>141</v>
      </c>
      <c r="H21" s="93" t="s">
        <v>194</v>
      </c>
      <c r="I21" s="93" t="s">
        <v>198</v>
      </c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28"/>
      <c r="B22" s="28"/>
      <c r="C22" s="28"/>
      <c r="D22" s="28"/>
      <c r="E22" s="28"/>
      <c r="F22" s="28"/>
      <c r="G22" s="28" t="str">
        <f>IFERROR(__xludf.DUMMYFUNCTION("IFERROR(
  SORT(
    QUERY(
      Adjustments!B3:D1000,
      ""select B, sum(D) where B is not null group by B label sum(D) ''"",
      0
    ),
    2, TRUE
  ),
"""")"),"WOLEVATION")</f>
        <v>WOLEVATION</v>
      </c>
      <c r="H22" s="28">
        <f>IFERROR(__xludf.DUMMYFUNCTION("""COMPUTED_VALUE"""),-3.0)</f>
        <v>-3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28"/>
      <c r="B23" s="28"/>
      <c r="C23" s="28"/>
      <c r="D23" s="28"/>
      <c r="E23" s="28"/>
      <c r="F23" s="28"/>
      <c r="G23" s="28" t="str">
        <f>IFERROR(__xludf.DUMMYFUNCTION("IFERROR(
  SORT(
    QUERY(
      Adjustments!B4:D1000,
      ""select B, sum(D) where B is not null group by B label sum(D) ''"",
      0
    ),
    2, TRUE
  ),
"""")"),"")</f>
        <v/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28"/>
      <c r="B24" s="28"/>
      <c r="C24" s="28"/>
      <c r="D24" s="28"/>
      <c r="E24" s="28"/>
      <c r="F24" s="28"/>
      <c r="G24" s="28" t="str">
        <f>IFERROR(__xludf.DUMMYFUNCTION("IFERROR(
  SORT(
    QUERY(
      Adjustments!B5:D1000,
      ""select B, sum(D) where B is not null group by B label sum(D) ''"",
      0
    ),
    2, TRUE
  ),
"""")"),"")</f>
        <v/>
      </c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28"/>
      <c r="B25" s="28"/>
      <c r="C25" s="28"/>
      <c r="D25" s="28"/>
      <c r="E25" s="28"/>
      <c r="F25" s="28"/>
      <c r="G25" s="28" t="str">
        <f>IFERROR(__xludf.DUMMYFUNCTION("IFERROR(
  SORT(
    QUERY(
      Adjustments!B6:D1000,
      ""select B, sum(D) where B is not null group by B label sum(D) ''"",
      0
    ),
    2, TRUE
  ),
"""")"),"")</f>
        <v/>
      </c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28"/>
      <c r="B26" s="28"/>
      <c r="C26" s="28"/>
      <c r="D26" s="28"/>
      <c r="E26" s="28"/>
      <c r="F26" s="28"/>
      <c r="G26" s="28" t="str">
        <f>IFERROR(__xludf.DUMMYFUNCTION("IFERROR(
  SORT(
    QUERY(
      Adjustments!B7:D1000,
      ""select B, sum(D) where B is not null group by B label sum(D) ''"",
      0
    ),
    2, TRUE
  ),
"""")"),"")</f>
        <v/>
      </c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8"/>
      <c r="B27" s="28"/>
      <c r="C27" s="28"/>
      <c r="D27" s="28"/>
      <c r="E27" s="28"/>
      <c r="F27" s="28"/>
      <c r="G27" s="28" t="str">
        <f>IFERROR(__xludf.DUMMYFUNCTION("IFERROR(
  SORT(
    QUERY(
      Adjustments!B8:D1000,
      ""select B, sum(D) where B is not null group by B label sum(D) ''"",
      0
    ),
    2, TRUE
  ),
"""")"),"")</f>
        <v/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8"/>
      <c r="B28" s="28"/>
      <c r="C28" s="28"/>
      <c r="D28" s="28"/>
      <c r="E28" s="28"/>
      <c r="F28" s="28"/>
      <c r="G28" s="28" t="str">
        <f>IFERROR(__xludf.DUMMYFUNCTION("IFERROR(
  SORT(
    QUERY(
      Adjustments!B9:D1000,
      ""select B, sum(D) where B is not null group by B label sum(D) ''"",
      0
    ),
    2, TRUE
  ),
"""")"),"")</f>
        <v/>
      </c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8"/>
      <c r="B29" s="28"/>
      <c r="C29" s="28"/>
      <c r="D29" s="28"/>
      <c r="E29" s="28"/>
      <c r="F29" s="28"/>
      <c r="G29" s="28" t="str">
        <f>IFERROR(__xludf.DUMMYFUNCTION("IFERROR(
  SORT(
    QUERY(
      Adjustments!B10:D1000,
      ""select B, sum(D) where B is not null group by B label sum(D) ''"",
      0
    ),
    2, TRUE
  ),
"""")"),"")</f>
        <v/>
      </c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28"/>
      <c r="B30" s="28"/>
      <c r="C30" s="28"/>
      <c r="D30" s="28"/>
      <c r="E30" s="28"/>
      <c r="F30" s="28"/>
      <c r="G30" s="88" t="s">
        <v>199</v>
      </c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28"/>
      <c r="B31" s="28"/>
      <c r="C31" s="28"/>
      <c r="D31" s="28"/>
      <c r="E31" s="28"/>
      <c r="F31" s="28"/>
      <c r="G31" s="93" t="s">
        <v>141</v>
      </c>
      <c r="H31" s="93" t="s">
        <v>194</v>
      </c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28"/>
      <c r="B32" s="28"/>
      <c r="C32" s="28"/>
      <c r="D32" s="28"/>
      <c r="E32" s="28"/>
      <c r="F32" s="28"/>
      <c r="G32" s="28" t="str">
        <f>IFERROR(__xludf.DUMMYFUNCTION("IFERROR(
  SORT(
    QUERY(
      Adjustments!B3:D1000,
      ""select B, sum(D) where B is not null group by B label sum(D) ''"",
      0
    ),
    2, FALSE
  ),
"""")"),"WOLEVATION")</f>
        <v>WOLEVATION</v>
      </c>
      <c r="H32" s="28">
        <f>IFERROR(__xludf.DUMMYFUNCTION("""COMPUTED_VALUE"""),-3.0)</f>
        <v>-3</v>
      </c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28"/>
      <c r="B33" s="28"/>
      <c r="C33" s="28"/>
      <c r="D33" s="28"/>
      <c r="E33" s="28"/>
      <c r="F33" s="28"/>
      <c r="G33" s="28" t="str">
        <f>IFERROR(__xludf.DUMMYFUNCTION("IFERROR(
  SORT(
    QUERY(
      Adjustments!B4:D1000,
      ""select B, sum(D) where B is not null group by B label sum(D) ''"",
      0
    ),
    2, FALSE
  ),
"""")"),"")</f>
        <v/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28"/>
      <c r="B34" s="28"/>
      <c r="C34" s="28"/>
      <c r="D34" s="28"/>
      <c r="E34" s="28"/>
      <c r="F34" s="28"/>
      <c r="G34" s="28" t="str">
        <f>IFERROR(__xludf.DUMMYFUNCTION("IFERROR(
  SORT(
    QUERY(
      Adjustments!B5:D1000,
      ""select B, sum(D) where B is not null group by B label sum(D) ''"",
      0
    ),
    2, FALSE
  ),
"""")"),"")</f>
        <v/>
      </c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8"/>
      <c r="B35" s="28"/>
      <c r="C35" s="28"/>
      <c r="D35" s="28"/>
      <c r="E35" s="28"/>
      <c r="F35" s="28"/>
      <c r="G35" s="28" t="str">
        <f>IFERROR(__xludf.DUMMYFUNCTION("IFERROR(
  SORT(
    QUERY(
      Adjustments!B6:D1000,
      ""select B, sum(D) where B is not null group by B label sum(D) ''"",
      0
    ),
    2, FALSE
  ),
"""")"),"")</f>
        <v/>
      </c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8"/>
      <c r="B36" s="28"/>
      <c r="C36" s="28"/>
      <c r="D36" s="28"/>
      <c r="E36" s="28"/>
      <c r="F36" s="28"/>
      <c r="G36" s="28" t="str">
        <f>IFERROR(__xludf.DUMMYFUNCTION("IFERROR(
  SORT(
    QUERY(
      Adjustments!B7:D1000,
      ""select B, sum(D) where B is not null group by B label sum(D) ''"",
      0
    ),
    2, FALSE
  ),
"""")"),"")</f>
        <v/>
      </c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8"/>
      <c r="B37" s="28"/>
      <c r="C37" s="28"/>
      <c r="D37" s="28"/>
      <c r="E37" s="28"/>
      <c r="F37" s="28"/>
      <c r="G37" s="28" t="str">
        <f>IFERROR(__xludf.DUMMYFUNCTION("IFERROR(
  SORT(
    QUERY(
      Adjustments!B8:D1000,
      ""select B, sum(D) where B is not null group by B label sum(D) ''"",
      0
    ),
    2, FALSE
  ),
"""")"),"")</f>
        <v/>
      </c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8"/>
      <c r="B38" s="28"/>
      <c r="C38" s="28"/>
      <c r="D38" s="28"/>
      <c r="E38" s="28"/>
      <c r="F38" s="28"/>
      <c r="G38" s="28" t="str">
        <f>IFERROR(__xludf.DUMMYFUNCTION("IFERROR(
  SORT(
    QUERY(
      Adjustments!B9:D1000,
      ""select B, sum(D) where B is not null group by B label sum(D) ''"",
      0
    ),
    2, FALSE
  ),
"""")"),"")</f>
        <v/>
      </c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8"/>
      <c r="B39" s="28"/>
      <c r="C39" s="28"/>
      <c r="D39" s="28"/>
      <c r="E39" s="28"/>
      <c r="F39" s="28"/>
      <c r="G39" s="28" t="str">
        <f>IFERROR(__xludf.DUMMYFUNCTION("IFERROR(
  SORT(
    QUERY(
      Adjustments!B10:D1000,
      ""select B, sum(D) where B is not null group by B label sum(D) ''"",
      0
    ),
    2, FALSE
  ),
"""")"),"")</f>
        <v/>
      </c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8"/>
      <c r="B40" s="28"/>
      <c r="C40" s="28"/>
      <c r="D40" s="28"/>
      <c r="E40" s="28"/>
      <c r="F40" s="28"/>
      <c r="G40" s="28" t="str">
        <f>IFERROR(__xludf.DUMMYFUNCTION("IFERROR(
  SORT(
    QUERY(
      Adjustments!B11:D1000,
      ""select B, sum(D) where B is not null group by B label sum(D) ''"",
      0
    ),
    2, FALSE
  ),
"""")"),"")</f>
        <v/>
      </c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8"/>
      <c r="B41" s="28"/>
      <c r="C41" s="28"/>
      <c r="D41" s="28"/>
      <c r="E41" s="28"/>
      <c r="F41" s="28"/>
      <c r="G41" s="28" t="str">
        <f>IFERROR(__xludf.DUMMYFUNCTION("IFERROR(
  SORT(
    QUERY(
      Adjustments!B12:D1000,
      ""select B, sum(D) where B is not null group by B label sum(D) ''"",
      0
    ),
    2, FALSE
  ),
"""")"),"")</f>
        <v/>
      </c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8"/>
      <c r="B42" s="28"/>
      <c r="C42" s="28"/>
      <c r="D42" s="28"/>
      <c r="E42" s="28"/>
      <c r="F42" s="28"/>
      <c r="G42" s="28" t="str">
        <f>IFERROR(__xludf.DUMMYFUNCTION("IFERROR(
  SORT(
    QUERY(
      Adjustments!B13:D1000,
      ""select B, sum(D) where B is not null group by B label sum(D) ''"",
      0
    ),
    2, FALSE
  ),
"""")"),"")</f>
        <v/>
      </c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</row>
    <row r="265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</row>
    <row r="266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</row>
    <row r="267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</row>
    <row r="268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</row>
    <row r="269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</row>
    <row r="270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</row>
    <row r="271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</row>
    <row r="272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</row>
    <row r="273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</row>
    <row r="274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</row>
    <row r="275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</row>
    <row r="276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</row>
    <row r="277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</row>
    <row r="278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</row>
    <row r="279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</row>
    <row r="280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</row>
    <row r="28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</row>
    <row r="282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</row>
    <row r="283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</row>
    <row r="284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</row>
    <row r="285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</row>
    <row r="286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</row>
    <row r="287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</row>
    <row r="288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</row>
    <row r="289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</row>
    <row r="290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</row>
    <row r="29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</row>
    <row r="292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</row>
    <row r="293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</row>
    <row r="294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</row>
    <row r="295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</row>
    <row r="296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</row>
    <row r="297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</row>
    <row r="298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</row>
    <row r="299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</row>
    <row r="300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</row>
    <row r="30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</row>
    <row r="302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</row>
    <row r="303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</row>
    <row r="304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</row>
    <row r="305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</row>
    <row r="306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</row>
    <row r="307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</row>
    <row r="308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</row>
    <row r="309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</row>
    <row r="310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</row>
    <row r="31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</row>
    <row r="312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</row>
    <row r="313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</row>
    <row r="314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</row>
    <row r="315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</row>
    <row r="316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</row>
    <row r="317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</row>
    <row r="318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</row>
    <row r="319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</row>
    <row r="320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</row>
    <row r="32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</row>
    <row r="322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</row>
    <row r="323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</row>
    <row r="324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</row>
    <row r="325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</row>
    <row r="326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</row>
    <row r="327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</row>
    <row r="328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</row>
    <row r="329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</row>
    <row r="330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</row>
    <row r="33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</row>
    <row r="332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</row>
    <row r="333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</row>
    <row r="334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</row>
    <row r="335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</row>
    <row r="336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</row>
    <row r="337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</row>
    <row r="338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</row>
    <row r="339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</row>
    <row r="340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</row>
    <row r="34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</row>
    <row r="342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</row>
    <row r="343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</row>
    <row r="344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</row>
    <row r="345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</row>
    <row r="346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</row>
    <row r="347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</row>
    <row r="348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</row>
    <row r="349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</row>
    <row r="350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</row>
    <row r="35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</row>
    <row r="352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</row>
    <row r="353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</row>
    <row r="354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</row>
    <row r="355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</row>
    <row r="356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</row>
    <row r="357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</row>
    <row r="358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</row>
    <row r="359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</row>
    <row r="360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</row>
    <row r="36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</row>
    <row r="362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</row>
    <row r="363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</row>
    <row r="364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</row>
    <row r="365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</row>
    <row r="366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</row>
    <row r="367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</row>
    <row r="368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</row>
    <row r="369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</row>
    <row r="370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</row>
    <row r="37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</row>
    <row r="372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</row>
    <row r="373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</row>
    <row r="374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</row>
    <row r="375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</row>
    <row r="376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</row>
    <row r="377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</row>
    <row r="378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</row>
    <row r="379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</row>
    <row r="380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</row>
    <row r="38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</row>
    <row r="382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</row>
    <row r="383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</row>
    <row r="384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</row>
    <row r="385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</row>
    <row r="386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</row>
    <row r="387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</row>
    <row r="388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</row>
    <row r="389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</row>
    <row r="390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</row>
    <row r="39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</row>
    <row r="392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</row>
    <row r="393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</row>
    <row r="394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</row>
    <row r="395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</row>
    <row r="396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</row>
    <row r="397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</row>
    <row r="398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</row>
    <row r="399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</row>
    <row r="400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</row>
    <row r="40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</row>
    <row r="402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</row>
    <row r="403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</row>
    <row r="404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</row>
    <row r="405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</row>
    <row r="406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</row>
    <row r="407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</row>
    <row r="408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</row>
    <row r="409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</row>
    <row r="410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</row>
    <row r="41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</row>
    <row r="412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</row>
    <row r="413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</row>
    <row r="414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</row>
    <row r="415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</row>
    <row r="416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</row>
    <row r="417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</row>
    <row r="418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</row>
    <row r="419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</row>
    <row r="420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</row>
    <row r="42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</row>
    <row r="422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</row>
    <row r="423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</row>
    <row r="424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</row>
    <row r="425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</row>
    <row r="426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</row>
    <row r="427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</row>
    <row r="428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</row>
    <row r="429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</row>
    <row r="430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</row>
    <row r="43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</row>
    <row r="432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</row>
    <row r="433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</row>
    <row r="434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</row>
    <row r="435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</row>
    <row r="436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</row>
    <row r="437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</row>
    <row r="438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</row>
    <row r="439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</row>
    <row r="440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</row>
    <row r="44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</row>
    <row r="442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</row>
    <row r="443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</row>
    <row r="444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</row>
    <row r="445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</row>
    <row r="446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</row>
    <row r="447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</row>
    <row r="448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</row>
    <row r="449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</row>
    <row r="450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</row>
    <row r="45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</row>
    <row r="452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</row>
    <row r="453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</row>
    <row r="454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</row>
    <row r="455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</row>
    <row r="456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</row>
    <row r="457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</row>
    <row r="458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</row>
    <row r="459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</row>
    <row r="460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</row>
    <row r="46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</row>
    <row r="462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</row>
    <row r="463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</row>
    <row r="464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</row>
    <row r="465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</row>
    <row r="466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</row>
    <row r="467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</row>
    <row r="468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</row>
    <row r="469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</row>
    <row r="470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</row>
    <row r="47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</row>
    <row r="472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</row>
    <row r="473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</row>
    <row r="474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</row>
    <row r="475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</row>
    <row r="476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</row>
    <row r="477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</row>
    <row r="478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</row>
    <row r="479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</row>
    <row r="480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</row>
    <row r="48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</row>
    <row r="482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</row>
    <row r="483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</row>
    <row r="484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</row>
    <row r="485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</row>
    <row r="486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</row>
    <row r="487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</row>
    <row r="488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</row>
    <row r="489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</row>
    <row r="490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</row>
    <row r="49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</row>
    <row r="492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</row>
    <row r="493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</row>
    <row r="494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</row>
    <row r="495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</row>
    <row r="496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</row>
    <row r="497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</row>
    <row r="498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</row>
    <row r="499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</row>
    <row r="500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</row>
    <row r="50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</row>
    <row r="502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</row>
    <row r="503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</row>
    <row r="504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</row>
    <row r="505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</row>
    <row r="506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</row>
    <row r="507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</row>
    <row r="508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</row>
    <row r="509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</row>
    <row r="510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</row>
    <row r="51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</row>
    <row r="512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</row>
    <row r="513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</row>
    <row r="514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</row>
    <row r="515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</row>
    <row r="516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</row>
    <row r="517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</row>
    <row r="518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</row>
    <row r="519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</row>
    <row r="520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</row>
    <row r="52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</row>
    <row r="522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</row>
    <row r="523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</row>
    <row r="524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</row>
    <row r="525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</row>
    <row r="526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</row>
    <row r="527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</row>
    <row r="528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</row>
    <row r="529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</row>
    <row r="530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</row>
    <row r="53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</row>
    <row r="533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</row>
    <row r="534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</row>
    <row r="535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</row>
    <row r="537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</row>
    <row r="538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</row>
    <row r="539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</row>
    <row r="54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</row>
    <row r="542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</row>
    <row r="543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</row>
    <row r="545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</row>
    <row r="546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</row>
    <row r="547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</row>
    <row r="549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</row>
    <row r="550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</row>
    <row r="55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</row>
    <row r="553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</row>
    <row r="554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</row>
    <row r="555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</row>
    <row r="557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</row>
    <row r="559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</row>
    <row r="560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</row>
    <row r="56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</row>
    <row r="562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</row>
    <row r="563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</row>
    <row r="565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</row>
    <row r="567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</row>
    <row r="568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</row>
    <row r="569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</row>
    <row r="570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</row>
    <row r="57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</row>
    <row r="573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</row>
    <row r="575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</row>
    <row r="576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</row>
    <row r="577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</row>
    <row r="578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</row>
    <row r="579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</row>
    <row r="58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</row>
    <row r="583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</row>
    <row r="584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</row>
    <row r="585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</row>
    <row r="586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</row>
    <row r="587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</row>
    <row r="589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</row>
    <row r="59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</row>
    <row r="592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</row>
    <row r="593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</row>
    <row r="594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</row>
    <row r="595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</row>
    <row r="597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</row>
    <row r="599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</row>
    <row r="600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</row>
    <row r="60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</row>
    <row r="602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</row>
    <row r="603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</row>
    <row r="605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</row>
    <row r="607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</row>
    <row r="608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</row>
    <row r="609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</row>
    <row r="610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</row>
    <row r="61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</row>
    <row r="612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</row>
    <row r="613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</row>
    <row r="615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</row>
    <row r="616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</row>
    <row r="617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</row>
    <row r="618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</row>
    <row r="619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</row>
    <row r="620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</row>
    <row r="62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</row>
    <row r="622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</row>
    <row r="623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</row>
    <row r="624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</row>
    <row r="625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</row>
    <row r="626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</row>
    <row r="627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</row>
    <row r="628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</row>
    <row r="629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</row>
    <row r="630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</row>
    <row r="63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</row>
    <row r="632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</row>
    <row r="633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</row>
    <row r="634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</row>
    <row r="635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</row>
    <row r="636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</row>
    <row r="637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</row>
    <row r="638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</row>
    <row r="639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</row>
    <row r="640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</row>
    <row r="64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</row>
    <row r="642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</row>
    <row r="643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</row>
    <row r="644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</row>
    <row r="645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</row>
    <row r="646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</row>
    <row r="647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</row>
    <row r="648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</row>
    <row r="649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</row>
    <row r="650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</row>
    <row r="65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</row>
    <row r="652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</row>
    <row r="653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</row>
    <row r="654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</row>
    <row r="655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</row>
    <row r="656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</row>
    <row r="657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</row>
    <row r="658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</row>
    <row r="659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</row>
    <row r="660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</row>
    <row r="66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</row>
    <row r="662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</row>
    <row r="663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</row>
    <row r="664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</row>
    <row r="665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</row>
    <row r="666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</row>
    <row r="667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</row>
    <row r="668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</row>
    <row r="669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</row>
    <row r="670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</row>
    <row r="67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</row>
    <row r="672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</row>
    <row r="673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</row>
    <row r="674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</row>
    <row r="675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</row>
    <row r="676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</row>
    <row r="677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</row>
    <row r="678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</row>
    <row r="679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</row>
    <row r="680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</row>
    <row r="68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</row>
    <row r="682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</row>
    <row r="683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</row>
    <row r="684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</row>
    <row r="685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</row>
    <row r="686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</row>
    <row r="687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</row>
    <row r="688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</row>
    <row r="689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</row>
    <row r="690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</row>
    <row r="69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</row>
    <row r="692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</row>
    <row r="693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</row>
    <row r="694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</row>
    <row r="695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</row>
    <row r="696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</row>
    <row r="697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</row>
    <row r="698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</row>
    <row r="699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</row>
    <row r="700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</row>
    <row r="70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</row>
    <row r="702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</row>
    <row r="703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</row>
    <row r="704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</row>
    <row r="705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</row>
    <row r="706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</row>
    <row r="707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</row>
    <row r="708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</row>
    <row r="709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</row>
    <row r="710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</row>
    <row r="71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</row>
    <row r="712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</row>
    <row r="713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</row>
    <row r="714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</row>
    <row r="715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</row>
    <row r="716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</row>
    <row r="717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</row>
    <row r="718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</row>
    <row r="719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</row>
    <row r="720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</row>
    <row r="72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</row>
    <row r="722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</row>
    <row r="723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</row>
    <row r="724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</row>
    <row r="725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</row>
    <row r="726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</row>
    <row r="727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</row>
    <row r="728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</row>
    <row r="729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</row>
    <row r="730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</row>
    <row r="73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</row>
    <row r="732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</row>
    <row r="733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</row>
    <row r="734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</row>
    <row r="735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</row>
    <row r="736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</row>
    <row r="737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</row>
    <row r="738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</row>
    <row r="739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</row>
    <row r="740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</row>
    <row r="74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</row>
    <row r="742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</row>
    <row r="743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</row>
    <row r="744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</row>
    <row r="745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</row>
    <row r="746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</row>
    <row r="747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</row>
    <row r="748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</row>
    <row r="749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</row>
    <row r="750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</row>
    <row r="75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</row>
    <row r="752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</row>
    <row r="753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</row>
    <row r="754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</row>
    <row r="755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</row>
    <row r="756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</row>
    <row r="757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</row>
    <row r="758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</row>
    <row r="759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</row>
    <row r="760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</row>
    <row r="76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</row>
    <row r="762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</row>
    <row r="763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</row>
    <row r="764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</row>
    <row r="765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</row>
    <row r="766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</row>
    <row r="767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</row>
    <row r="768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</row>
    <row r="769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</row>
    <row r="770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</row>
    <row r="77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</row>
    <row r="772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</row>
    <row r="773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</row>
    <row r="774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</row>
    <row r="775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</row>
    <row r="776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</row>
    <row r="777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</row>
    <row r="778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</row>
    <row r="779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</row>
    <row r="780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</row>
    <row r="78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</row>
    <row r="782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</row>
    <row r="783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</row>
    <row r="784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</row>
    <row r="785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</row>
    <row r="787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</row>
    <row r="788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</row>
    <row r="789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</row>
    <row r="79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</row>
    <row r="792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</row>
    <row r="793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</row>
    <row r="795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</row>
    <row r="796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</row>
    <row r="797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</row>
    <row r="799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</row>
    <row r="800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</row>
    <row r="80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</row>
    <row r="803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</row>
    <row r="804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</row>
    <row r="805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</row>
    <row r="807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</row>
    <row r="808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</row>
    <row r="809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</row>
    <row r="81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</row>
    <row r="813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</row>
    <row r="814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</row>
    <row r="815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</row>
    <row r="816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</row>
    <row r="817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</row>
    <row r="819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</row>
    <row r="82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</row>
    <row r="822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</row>
    <row r="823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</row>
    <row r="824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</row>
    <row r="825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</row>
    <row r="827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</row>
    <row r="829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</row>
    <row r="830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</row>
    <row r="83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</row>
    <row r="832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</row>
    <row r="833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</row>
    <row r="835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</row>
    <row r="837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</row>
    <row r="838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</row>
    <row r="839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</row>
    <row r="840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</row>
    <row r="84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</row>
    <row r="843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</row>
    <row r="845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</row>
    <row r="846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</row>
    <row r="847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</row>
    <row r="848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</row>
    <row r="849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</row>
    <row r="85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</row>
    <row r="853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</row>
    <row r="854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</row>
    <row r="855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</row>
    <row r="856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</row>
    <row r="857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</row>
    <row r="859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</row>
    <row r="86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</row>
    <row r="862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</row>
    <row r="863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</row>
    <row r="864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</row>
    <row r="865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</row>
    <row r="866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</row>
    <row r="867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</row>
    <row r="869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</row>
    <row r="870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</row>
    <row r="872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</row>
    <row r="873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</row>
    <row r="874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</row>
    <row r="875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</row>
    <row r="876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</row>
    <row r="877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</row>
    <row r="878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</row>
    <row r="879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</row>
    <row r="880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</row>
    <row r="88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</row>
    <row r="882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</row>
    <row r="883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</row>
    <row r="884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</row>
    <row r="885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</row>
    <row r="886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</row>
    <row r="887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</row>
    <row r="888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</row>
    <row r="889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</row>
    <row r="890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</row>
    <row r="89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</row>
    <row r="892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</row>
    <row r="893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</row>
    <row r="894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</row>
    <row r="895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</row>
    <row r="896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</row>
    <row r="897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</row>
    <row r="898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</row>
    <row r="899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</row>
    <row r="900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</row>
    <row r="90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</row>
    <row r="902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</row>
    <row r="903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</row>
    <row r="904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</row>
    <row r="905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</row>
    <row r="906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</row>
    <row r="907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</row>
    <row r="908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</row>
    <row r="909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</row>
    <row r="910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</row>
    <row r="91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</row>
    <row r="912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</row>
    <row r="913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</row>
    <row r="914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</row>
    <row r="915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</row>
    <row r="916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</row>
    <row r="917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</row>
    <row r="918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</row>
    <row r="919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</row>
    <row r="920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</row>
    <row r="92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</row>
    <row r="922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</row>
    <row r="923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</row>
    <row r="924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</row>
    <row r="925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</row>
    <row r="926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</row>
    <row r="927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</row>
    <row r="928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</row>
    <row r="929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</row>
    <row r="930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</row>
    <row r="93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</row>
    <row r="932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</row>
    <row r="933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</row>
    <row r="934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</row>
    <row r="935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</row>
    <row r="936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</row>
    <row r="937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</row>
    <row r="938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</row>
    <row r="939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</row>
    <row r="940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</row>
    <row r="941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</row>
    <row r="942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</row>
    <row r="943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  <row r="992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</row>
    <row r="993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</row>
    <row r="994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</row>
    <row r="995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</row>
    <row r="996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</row>
    <row r="997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</row>
    <row r="998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</row>
    <row r="999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</row>
    <row r="1000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</row>
  </sheetData>
  <mergeCells count="2">
    <mergeCell ref="G1:I1"/>
    <mergeCell ref="K1:L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14.14"/>
    <col customWidth="1" min="3" max="3" width="8.86"/>
    <col customWidth="1" min="4" max="4" width="14.14"/>
    <col customWidth="1" min="5" max="5" width="10.71"/>
    <col customWidth="1" min="6" max="6" width="22.43"/>
    <col customWidth="1" min="7" max="7" width="15.0"/>
    <col customWidth="1" min="8" max="8" width="12.86"/>
    <col customWidth="1" min="9" max="9" width="16.29"/>
    <col customWidth="1" min="10" max="11" width="14.43"/>
    <col customWidth="1" min="12" max="12" width="18.43"/>
    <col customWidth="1" min="14" max="14" width="65.86"/>
  </cols>
  <sheetData>
    <row r="1">
      <c r="A1" s="82" t="s">
        <v>200</v>
      </c>
      <c r="B1" s="82" t="s">
        <v>201</v>
      </c>
      <c r="C1" s="82" t="s">
        <v>202</v>
      </c>
      <c r="D1" s="82" t="s">
        <v>203</v>
      </c>
      <c r="E1" s="82" t="s">
        <v>204</v>
      </c>
      <c r="F1" s="82" t="s">
        <v>205</v>
      </c>
      <c r="G1" s="82" t="s">
        <v>206</v>
      </c>
      <c r="H1" s="82" t="s">
        <v>207</v>
      </c>
      <c r="I1" s="82" t="s">
        <v>208</v>
      </c>
      <c r="J1" s="82" t="s">
        <v>209</v>
      </c>
      <c r="K1" s="82" t="s">
        <v>210</v>
      </c>
      <c r="L1" s="83"/>
      <c r="M1" s="83"/>
      <c r="N1" s="82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>
      <c r="A2" s="57">
        <f>MATCH("Player",Stats!2:2,0)</f>
        <v>1</v>
      </c>
      <c r="B2" s="57">
        <f>MATCH("P",Stats!2:2,0)</f>
        <v>2</v>
      </c>
      <c r="C2" s="57">
        <f>MATCH("W",Stats!2:2,0)</f>
        <v>3</v>
      </c>
      <c r="D2" s="57">
        <f>MATCH("D",Stats!2:2,0)</f>
        <v>4</v>
      </c>
      <c r="E2" s="57">
        <f>MATCH("L",Stats!2:2,0)</f>
        <v>5</v>
      </c>
      <c r="F2" s="57">
        <f>MATCH("GF",Stats!2:2,0)</f>
        <v>6</v>
      </c>
      <c r="G2" s="57">
        <f>MATCH("GA",Stats!2:2,0)</f>
        <v>7</v>
      </c>
      <c r="H2" s="57">
        <f>MATCH("GD",Stats!2:2,0)</f>
        <v>8</v>
      </c>
      <c r="I2" s="57">
        <f>MATCH("Last5Pts",Stats!2:2,0)</f>
        <v>22</v>
      </c>
      <c r="J2" s="57">
        <f>MATCH("TotalPts",Stats!2:2,0)</f>
        <v>11</v>
      </c>
      <c r="K2" s="57">
        <f>MATCH("FormScore",Stats!2:2,0)</f>
        <v>23</v>
      </c>
      <c r="L2" s="57"/>
      <c r="M2" s="57"/>
      <c r="N2" s="95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>
      <c r="A4" s="96" t="s">
        <v>211</v>
      </c>
      <c r="B4" s="97">
        <f t="array" ref="B4">SUM(INDEX(Stats!A:ZZ,,$F$2))</f>
        <v>1636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>
      <c r="A5" s="98" t="s">
        <v>212</v>
      </c>
      <c r="B5" s="99">
        <f t="array" ref="B5">IFERROR(
  (SUM(INDEX(Stats!A:ZZ,,$F$2))) / (SUM(INDEX(Stats!A:ZZ,,$B$2))),
0)</f>
        <v>4.35106383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>
      <c r="A6" s="100" t="s">
        <v>213</v>
      </c>
      <c r="B6" s="101">
        <f t="array" ref="B6">IFERROR( SUM(INDEX(Stats!A:ZZ,,$D$2)) / SUM(INDEX(Stats!A:ZZ,,$B$2)), 0 )</f>
        <v>0.1382978723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>
      <c r="A10" s="102" t="s">
        <v>214</v>
      </c>
      <c r="B10" s="103"/>
      <c r="C10" s="104" t="s">
        <v>215</v>
      </c>
      <c r="D10" s="105" t="s">
        <v>216</v>
      </c>
      <c r="E10" s="83"/>
      <c r="F10" s="106" t="s">
        <v>217</v>
      </c>
      <c r="G10" s="107"/>
      <c r="H10" s="83"/>
      <c r="I10" s="106" t="s">
        <v>218</v>
      </c>
      <c r="J10" s="107"/>
      <c r="K10" s="83"/>
      <c r="L10" s="106" t="s">
        <v>219</v>
      </c>
      <c r="M10" s="107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>
      <c r="A11" s="108" t="str">
        <f>IFERROR(__xludf.DUMMYFUNCTION("ARRAY_CONSTRAIN(
  SORT(
    FILTER(
      {
        INDEX(Stats!A:ZZ,,$A$2),
        0.5*IFERROR(INDEX(Stats!A:ZZ,,$J$2)/INDEX(Stats!A:ZZ,,$B$2),0)
        +0.3*IFERROR(INDEX(Stats!A:ZZ,,$H$2)/INDEX(Stats!A:ZZ,,$B$2),0)
        +0.2*IFERROR(INDEX(Stats!A"&amp;":ZZ,,$K$2)/100,0),
        INDEX(Stats!A:ZZ,,$J$2),
        INDEX(Stats!A:ZZ,,$H$2)
      },
      INDEX(Stats!A:ZZ,,$A$2)&lt;&gt;""""
    ),
    2, FALSE
  ),
  10, 4
)"),"KINGNONEX")</f>
        <v>KINGNONEX</v>
      </c>
      <c r="B11" s="57">
        <f>IFERROR(__xludf.DUMMYFUNCTION("""COMPUTED_VALUE"""),2.2473684210526317)</f>
        <v>2.247368421</v>
      </c>
      <c r="C11" s="57">
        <f>IFERROR(__xludf.DUMMYFUNCTION("""COMPUTED_VALUE"""),46.0)</f>
        <v>46</v>
      </c>
      <c r="D11" s="99">
        <f>IFERROR(__xludf.DUMMYFUNCTION("""COMPUTED_VALUE"""),53.0)</f>
        <v>53</v>
      </c>
      <c r="E11" s="57"/>
      <c r="F11" s="109" t="str">
        <f>IFERROR(__xludf.DUMMYFUNCTION("ARRAY_CONSTRAIN(
  SORT(
    FILTER(
      {
        INDEX(Stats!A:ZZ,,$A$2),
        IFERROR(INDEX(Stats!A:ZZ,,$G$2)/INDEX(Stats!A:ZZ,,$B$2),0)
      },
      INDEX(Stats!A:ZZ,,$A$2)&lt;&gt;""""
    ),
    2, TRUE
  ),
  10, 2
)"),"Per-player Statistics (auto-calculated)")</f>
        <v>Per-player Statistics (auto-calculated)</v>
      </c>
      <c r="G11" s="99">
        <f>IFERROR(__xludf.DUMMYFUNCTION("""COMPUTED_VALUE"""),0.0)</f>
        <v>0</v>
      </c>
      <c r="H11" s="57"/>
      <c r="I11" s="109" t="str">
        <f>IFERROR(__xludf.DUMMYFUNCTION("ARRAY_CONSTRAIN(
  SORT(
    FILTER(
      {INDEX(Stats!A:ZZ,,$A$2), INDEX(Stats!A:ZZ,,$I$2)},
      INDEX(Stats!A:ZZ,,$A$2)&lt;&gt;""""
    ),
    2, FALSE
  ),
  10, 2
)"),"Player")</f>
        <v>Player</v>
      </c>
      <c r="J11" s="110" t="str">
        <f>IFERROR(__xludf.DUMMYFUNCTION("""COMPUTED_VALUE"""),"Last5Pts")</f>
        <v>Last5Pts</v>
      </c>
      <c r="K11" s="57"/>
      <c r="L11" s="109" t="str">
        <f>IFERROR(__xludf.DUMMYFUNCTION("ARRAY_CONSTRAIN(
  SORT(
    FILTER(
      {INDEX(Stats!A:ZZ,,$A$2), INDEX(Stats!A:ZZ,,$F$2)},
      INDEX(Stats!A:ZZ,,$A$2)&lt;&gt;""""
    ),
    2, FALSE
  ),
  10, 2
)"),"Player")</f>
        <v>Player</v>
      </c>
      <c r="M11" s="110" t="str">
        <f>IFERROR(__xludf.DUMMYFUNCTION("""COMPUTED_VALUE"""),"GF")</f>
        <v>GF</v>
      </c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>
      <c r="A12" s="108" t="str">
        <f>IFERROR(__xludf.DUMMYFUNCTION("""COMPUTED_VALUE"""),"KAYKAY")</f>
        <v>KAYKAY</v>
      </c>
      <c r="B12" s="57">
        <f>IFERROR(__xludf.DUMMYFUNCTION("""COMPUTED_VALUE"""),1.9105263157894736)</f>
        <v>1.910526316</v>
      </c>
      <c r="C12" s="57">
        <f>IFERROR(__xludf.DUMMYFUNCTION("""COMPUTED_VALUE"""),44.0)</f>
        <v>44</v>
      </c>
      <c r="D12" s="99">
        <f>IFERROR(__xludf.DUMMYFUNCTION("""COMPUTED_VALUE"""),35.0)</f>
        <v>35</v>
      </c>
      <c r="E12" s="57"/>
      <c r="F12" s="108" t="str">
        <f>IFERROR(__xludf.DUMMYFUNCTION("""COMPUTED_VALUE"""),"Player")</f>
        <v>Player</v>
      </c>
      <c r="G12" s="99">
        <f>IFERROR(__xludf.DUMMYFUNCTION("""COMPUTED_VALUE"""),0.0)</f>
        <v>0</v>
      </c>
      <c r="H12" s="57"/>
      <c r="I12" s="108" t="str">
        <f>IFERROR(__xludf.DUMMYFUNCTION("""COMPUTED_VALUE"""),"KAYKAY")</f>
        <v>KAYKAY</v>
      </c>
      <c r="J12" s="99">
        <f>IFERROR(__xludf.DUMMYFUNCTION("""COMPUTED_VALUE"""),15.0)</f>
        <v>15</v>
      </c>
      <c r="K12" s="57"/>
      <c r="L12" s="108" t="str">
        <f>IFERROR(__xludf.DUMMYFUNCTION("""COMPUTED_VALUE"""),"ANIFE")</f>
        <v>ANIFE</v>
      </c>
      <c r="M12" s="99">
        <f>IFERROR(__xludf.DUMMYFUNCTION("""COMPUTED_VALUE"""),117.0)</f>
        <v>117</v>
      </c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>
      <c r="A13" s="108" t="str">
        <f>IFERROR(__xludf.DUMMYFUNCTION("""COMPUTED_VALUE"""),"ANIFE")</f>
        <v>ANIFE</v>
      </c>
      <c r="B13" s="57">
        <f>IFERROR(__xludf.DUMMYFUNCTION("""COMPUTED_VALUE"""),1.6624494736842104)</f>
        <v>1.662449474</v>
      </c>
      <c r="C13" s="57">
        <f>IFERROR(__xludf.DUMMYFUNCTION("""COMPUTED_VALUE"""),36.0)</f>
        <v>36</v>
      </c>
      <c r="D13" s="99">
        <f>IFERROR(__xludf.DUMMYFUNCTION("""COMPUTED_VALUE"""),36.0)</f>
        <v>36</v>
      </c>
      <c r="E13" s="57"/>
      <c r="F13" s="108" t="str">
        <f>IFERROR(__xludf.DUMMYFUNCTION("""COMPUTED_VALUE"""),"KINGNONEX")</f>
        <v>KINGNONEX</v>
      </c>
      <c r="G13" s="99">
        <f>IFERROR(__xludf.DUMMYFUNCTION("""COMPUTED_VALUE"""),1.9473684210526316)</f>
        <v>1.947368421</v>
      </c>
      <c r="H13" s="57"/>
      <c r="I13" s="108" t="str">
        <f>IFERROR(__xludf.DUMMYFUNCTION("""COMPUTED_VALUE"""),"KINGNONEX")</f>
        <v>KINGNONEX</v>
      </c>
      <c r="J13" s="99">
        <f>IFERROR(__xludf.DUMMYFUNCTION("""COMPUTED_VALUE"""),15.0)</f>
        <v>15</v>
      </c>
      <c r="K13" s="57"/>
      <c r="L13" s="108" t="str">
        <f>IFERROR(__xludf.DUMMYFUNCTION("""COMPUTED_VALUE"""),"GURU")</f>
        <v>GURU</v>
      </c>
      <c r="M13" s="99">
        <f>IFERROR(__xludf.DUMMYFUNCTION("""COMPUTED_VALUE"""),109.0)</f>
        <v>109</v>
      </c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>
      <c r="A14" s="108" t="str">
        <f>IFERROR(__xludf.DUMMYFUNCTION("""COMPUTED_VALUE"""),"GURU")</f>
        <v>GURU</v>
      </c>
      <c r="B14" s="57">
        <f>IFERROR(__xludf.DUMMYFUNCTION("""COMPUTED_VALUE"""),1.654736842105263)</f>
        <v>1.654736842</v>
      </c>
      <c r="C14" s="57">
        <f>IFERROR(__xludf.DUMMYFUNCTION("""COMPUTED_VALUE"""),37.0)</f>
        <v>37</v>
      </c>
      <c r="D14" s="99">
        <f>IFERROR(__xludf.DUMMYFUNCTION("""COMPUTED_VALUE"""),33.0)</f>
        <v>33</v>
      </c>
      <c r="E14" s="57"/>
      <c r="F14" s="108" t="str">
        <f>IFERROR(__xludf.DUMMYFUNCTION("""COMPUTED_VALUE"""),"BAJI SNR")</f>
        <v>BAJI SNR</v>
      </c>
      <c r="G14" s="99">
        <f>IFERROR(__xludf.DUMMYFUNCTION("""COMPUTED_VALUE"""),3.6842105263157894)</f>
        <v>3.684210526</v>
      </c>
      <c r="H14" s="57"/>
      <c r="I14" s="108" t="str">
        <f>IFERROR(__xludf.DUMMYFUNCTION("""COMPUTED_VALUE"""),"GURU")</f>
        <v>GURU</v>
      </c>
      <c r="J14" s="99">
        <f>IFERROR(__xludf.DUMMYFUNCTION("""COMPUTED_VALUE"""),12.0)</f>
        <v>12</v>
      </c>
      <c r="K14" s="57"/>
      <c r="L14" s="108" t="str">
        <f>IFERROR(__xludf.DUMMYFUNCTION("""COMPUTED_VALUE"""),"KAYKAY")</f>
        <v>KAYKAY</v>
      </c>
      <c r="M14" s="99">
        <f>IFERROR(__xludf.DUMMYFUNCTION("""COMPUTED_VALUE"""),108.0)</f>
        <v>108</v>
      </c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>
      <c r="A15" s="108" t="str">
        <f>IFERROR(__xludf.DUMMYFUNCTION("""COMPUTED_VALUE"""),"TACTICAL")</f>
        <v>TACTICAL</v>
      </c>
      <c r="B15" s="57">
        <f>IFERROR(__xludf.DUMMYFUNCTION("""COMPUTED_VALUE"""),1.2986031578947368)</f>
        <v>1.298603158</v>
      </c>
      <c r="C15" s="57">
        <f>IFERROR(__xludf.DUMMYFUNCTION("""COMPUTED_VALUE"""),35.0)</f>
        <v>35</v>
      </c>
      <c r="D15" s="99">
        <f>IFERROR(__xludf.DUMMYFUNCTION("""COMPUTED_VALUE"""),18.0)</f>
        <v>18</v>
      </c>
      <c r="E15" s="57"/>
      <c r="F15" s="108" t="str">
        <f>IFERROR(__xludf.DUMMYFUNCTION("""COMPUTED_VALUE"""),"KAYKAY")</f>
        <v>KAYKAY</v>
      </c>
      <c r="G15" s="99">
        <f>IFERROR(__xludf.DUMMYFUNCTION("""COMPUTED_VALUE"""),3.8421052631578947)</f>
        <v>3.842105263</v>
      </c>
      <c r="H15" s="57"/>
      <c r="I15" s="108" t="str">
        <f>IFERROR(__xludf.DUMMYFUNCTION("""COMPUTED_VALUE"""),"RHYMEZ")</f>
        <v>RHYMEZ</v>
      </c>
      <c r="J15" s="99">
        <f>IFERROR(__xludf.DUMMYFUNCTION("""COMPUTED_VALUE"""),12.0)</f>
        <v>12</v>
      </c>
      <c r="K15" s="57"/>
      <c r="L15" s="108" t="str">
        <f>IFERROR(__xludf.DUMMYFUNCTION("""COMPUTED_VALUE"""),"MR OGA")</f>
        <v>MR OGA</v>
      </c>
      <c r="M15" s="99">
        <f>IFERROR(__xludf.DUMMYFUNCTION("""COMPUTED_VALUE"""),101.0)</f>
        <v>101</v>
      </c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>
      <c r="A16" s="108" t="str">
        <f>IFERROR(__xludf.DUMMYFUNCTION("""COMPUTED_VALUE"""),"RHYMEZ")</f>
        <v>RHYMEZ</v>
      </c>
      <c r="B16" s="57">
        <f>IFERROR(__xludf.DUMMYFUNCTION("""COMPUTED_VALUE"""),1.2547368421052632)</f>
        <v>1.254736842</v>
      </c>
      <c r="C16" s="57">
        <f>IFERROR(__xludf.DUMMYFUNCTION("""COMPUTED_VALUE"""),32.0)</f>
        <v>32</v>
      </c>
      <c r="D16" s="99">
        <f>IFERROR(__xludf.DUMMYFUNCTION("""COMPUTED_VALUE"""),16.0)</f>
        <v>16</v>
      </c>
      <c r="E16" s="57"/>
      <c r="F16" s="108" t="str">
        <f>IFERROR(__xludf.DUMMYFUNCTION("""COMPUTED_VALUE"""),"RHYMEZ")</f>
        <v>RHYMEZ</v>
      </c>
      <c r="G16" s="99">
        <f>IFERROR(__xludf.DUMMYFUNCTION("""COMPUTED_VALUE"""),3.8421052631578947)</f>
        <v>3.842105263</v>
      </c>
      <c r="H16" s="57"/>
      <c r="I16" s="108" t="str">
        <f>IFERROR(__xludf.DUMMYFUNCTION("""COMPUTED_VALUE"""),"DRACARYS")</f>
        <v>DRACARYS</v>
      </c>
      <c r="J16" s="99">
        <f>IFERROR(__xludf.DUMMYFUNCTION("""COMPUTED_VALUE"""),12.0)</f>
        <v>12</v>
      </c>
      <c r="K16" s="57"/>
      <c r="L16" s="108" t="str">
        <f>IFERROR(__xludf.DUMMYFUNCTION("""COMPUTED_VALUE"""),"YEMOLEE")</f>
        <v>YEMOLEE</v>
      </c>
      <c r="M16" s="99">
        <f>IFERROR(__xludf.DUMMYFUNCTION("""COMPUTED_VALUE"""),97.0)</f>
        <v>97</v>
      </c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>
      <c r="A17" s="108" t="str">
        <f>IFERROR(__xludf.DUMMYFUNCTION("""COMPUTED_VALUE"""),"YEMOLEE")</f>
        <v>YEMOLEE</v>
      </c>
      <c r="B17" s="57">
        <f>IFERROR(__xludf.DUMMYFUNCTION("""COMPUTED_VALUE"""),1.2540284210526316)</f>
        <v>1.254028421</v>
      </c>
      <c r="C17" s="57">
        <f>IFERROR(__xludf.DUMMYFUNCTION("""COMPUTED_VALUE"""),31.0)</f>
        <v>31</v>
      </c>
      <c r="D17" s="99">
        <f>IFERROR(__xludf.DUMMYFUNCTION("""COMPUTED_VALUE"""),21.0)</f>
        <v>21</v>
      </c>
      <c r="E17" s="57"/>
      <c r="F17" s="108" t="str">
        <f>IFERROR(__xludf.DUMMYFUNCTION("""COMPUTED_VALUE"""),"DRACARYS")</f>
        <v>DRACARYS</v>
      </c>
      <c r="G17" s="99">
        <f>IFERROR(__xludf.DUMMYFUNCTION("""COMPUTED_VALUE"""),3.8421052631578947)</f>
        <v>3.842105263</v>
      </c>
      <c r="H17" s="57"/>
      <c r="I17" s="108" t="str">
        <f>IFERROR(__xludf.DUMMYFUNCTION("""COMPUTED_VALUE"""),"ANIFE")</f>
        <v>ANIFE</v>
      </c>
      <c r="J17" s="99">
        <f>IFERROR(__xludf.DUMMYFUNCTION("""COMPUTED_VALUE"""),11.0)</f>
        <v>11</v>
      </c>
      <c r="K17" s="57"/>
      <c r="L17" s="108" t="str">
        <f>IFERROR(__xludf.DUMMYFUNCTION("""COMPUTED_VALUE"""),"GAMEWITHJOSH")</f>
        <v>GAMEWITHJOSH</v>
      </c>
      <c r="M17" s="99">
        <f>IFERROR(__xludf.DUMMYFUNCTION("""COMPUTED_VALUE"""),96.0)</f>
        <v>96</v>
      </c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>
      <c r="A18" s="108" t="str">
        <f>IFERROR(__xludf.DUMMYFUNCTION("""COMPUTED_VALUE"""),"MR OGA")</f>
        <v>MR OGA</v>
      </c>
      <c r="B18" s="57">
        <f>IFERROR(__xludf.DUMMYFUNCTION("""COMPUTED_VALUE"""),1.1428136842105263)</f>
        <v>1.142813684</v>
      </c>
      <c r="C18" s="57">
        <f>IFERROR(__xludf.DUMMYFUNCTION("""COMPUTED_VALUE"""),33.0)</f>
        <v>33</v>
      </c>
      <c r="D18" s="99">
        <f>IFERROR(__xludf.DUMMYFUNCTION("""COMPUTED_VALUE"""),14.0)</f>
        <v>14</v>
      </c>
      <c r="E18" s="57"/>
      <c r="F18" s="108" t="str">
        <f>IFERROR(__xludf.DUMMYFUNCTION("""COMPUTED_VALUE"""),"DADABOI")</f>
        <v>DADABOI</v>
      </c>
      <c r="G18" s="99">
        <f>IFERROR(__xludf.DUMMYFUNCTION("""COMPUTED_VALUE"""),3.8947368421052633)</f>
        <v>3.894736842</v>
      </c>
      <c r="H18" s="57"/>
      <c r="I18" s="108" t="str">
        <f>IFERROR(__xludf.DUMMYFUNCTION("""COMPUTED_VALUE"""),"DADABOI")</f>
        <v>DADABOI</v>
      </c>
      <c r="J18" s="99">
        <f>IFERROR(__xludf.DUMMYFUNCTION("""COMPUTED_VALUE"""),9.0)</f>
        <v>9</v>
      </c>
      <c r="K18" s="57"/>
      <c r="L18" s="108" t="str">
        <f>IFERROR(__xludf.DUMMYFUNCTION("""COMPUTED_VALUE"""),"TACTICAL")</f>
        <v>TACTICAL</v>
      </c>
      <c r="M18" s="99">
        <f>IFERROR(__xludf.DUMMYFUNCTION("""COMPUTED_VALUE"""),93.0)</f>
        <v>93</v>
      </c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>
      <c r="A19" s="108" t="str">
        <f>IFERROR(__xludf.DUMMYFUNCTION("""COMPUTED_VALUE"""),"DRACARYS")</f>
        <v>DRACARYS</v>
      </c>
      <c r="B19" s="57">
        <f>IFERROR(__xludf.DUMMYFUNCTION("""COMPUTED_VALUE"""),1.1231578947368421)</f>
        <v>1.123157895</v>
      </c>
      <c r="C19" s="57">
        <f>IFERROR(__xludf.DUMMYFUNCTION("""COMPUTED_VALUE"""),33.0)</f>
        <v>33</v>
      </c>
      <c r="D19" s="99">
        <f>IFERROR(__xludf.DUMMYFUNCTION("""COMPUTED_VALUE"""),6.0)</f>
        <v>6</v>
      </c>
      <c r="E19" s="57"/>
      <c r="F19" s="108" t="str">
        <f>IFERROR(__xludf.DUMMYFUNCTION("""COMPUTED_VALUE"""),"TACTICAL")</f>
        <v>TACTICAL</v>
      </c>
      <c r="G19" s="99">
        <f>IFERROR(__xludf.DUMMYFUNCTION("""COMPUTED_VALUE"""),3.9473684210526314)</f>
        <v>3.947368421</v>
      </c>
      <c r="H19" s="57"/>
      <c r="I19" s="108" t="str">
        <f>IFERROR(__xludf.DUMMYFUNCTION("""COMPUTED_VALUE"""),"YEMOLEE")</f>
        <v>YEMOLEE</v>
      </c>
      <c r="J19" s="99">
        <f>IFERROR(__xludf.DUMMYFUNCTION("""COMPUTED_VALUE"""),8.0)</f>
        <v>8</v>
      </c>
      <c r="K19" s="57"/>
      <c r="L19" s="108" t="str">
        <f>IFERROR(__xludf.DUMMYFUNCTION("""COMPUTED_VALUE"""),"KINGNONEX")</f>
        <v>KINGNONEX</v>
      </c>
      <c r="M19" s="99">
        <f>IFERROR(__xludf.DUMMYFUNCTION("""COMPUTED_VALUE"""),90.0)</f>
        <v>90</v>
      </c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>
      <c r="A20" s="111" t="str">
        <f>IFERROR(__xludf.DUMMYFUNCTION("""COMPUTED_VALUE"""),"DADABOI")</f>
        <v>DADABOI</v>
      </c>
      <c r="B20" s="112">
        <f>IFERROR(__xludf.DUMMYFUNCTION("""COMPUTED_VALUE"""),1.0989473684210527)</f>
        <v>1.098947368</v>
      </c>
      <c r="C20" s="112">
        <f>IFERROR(__xludf.DUMMYFUNCTION("""COMPUTED_VALUE"""),33.0)</f>
        <v>33</v>
      </c>
      <c r="D20" s="101">
        <f>IFERROR(__xludf.DUMMYFUNCTION("""COMPUTED_VALUE"""),7.0)</f>
        <v>7</v>
      </c>
      <c r="E20" s="57"/>
      <c r="F20" s="111" t="str">
        <f>IFERROR(__xludf.DUMMYFUNCTION("""COMPUTED_VALUE"""),"GURU")</f>
        <v>GURU</v>
      </c>
      <c r="G20" s="101">
        <f>IFERROR(__xludf.DUMMYFUNCTION("""COMPUTED_VALUE"""),4.0)</f>
        <v>4</v>
      </c>
      <c r="H20" s="57"/>
      <c r="I20" s="111" t="str">
        <f>IFERROR(__xludf.DUMMYFUNCTION("""COMPUTED_VALUE"""),"TACTICAL")</f>
        <v>TACTICAL</v>
      </c>
      <c r="J20" s="101">
        <f>IFERROR(__xludf.DUMMYFUNCTION("""COMPUTED_VALUE"""),7.0)</f>
        <v>7</v>
      </c>
      <c r="K20" s="57"/>
      <c r="L20" s="111" t="str">
        <f>IFERROR(__xludf.DUMMYFUNCTION("""COMPUTED_VALUE"""),"RHYMEZ")</f>
        <v>RHYMEZ</v>
      </c>
      <c r="M20" s="101">
        <f>IFERROR(__xludf.DUMMYFUNCTION("""COMPUTED_VALUE"""),89.0)</f>
        <v>89</v>
      </c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>
      <c r="A25" s="106" t="s">
        <v>220</v>
      </c>
      <c r="B25" s="113"/>
      <c r="C25" s="113"/>
      <c r="D25" s="113"/>
      <c r="E25" s="114" t="s">
        <v>221</v>
      </c>
      <c r="F25" s="83"/>
      <c r="G25" s="106" t="s">
        <v>222</v>
      </c>
      <c r="H25" s="113"/>
      <c r="I25" s="113"/>
      <c r="J25" s="113"/>
      <c r="K25" s="114" t="s">
        <v>216</v>
      </c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>
      <c r="A26" s="108" t="str">
        <f>IFERROR(__xludf.DUMMYFUNCTION("ARRAY_CONSTRAIN(
  SORT(
    FILTER(
      {Matches!C3:C1000, Matches!D3:D1000, Matches!H3:H1000, Matches!I3:I1000, (Matches!H3:H1000+Matches!I3:I1000)},
      Matches!C3:C1000&lt;&gt;""""
    ),
    5, FALSE
  ),
  10, 5
)"),"GURU")</f>
        <v>GURU</v>
      </c>
      <c r="B26" s="57" t="str">
        <f>IFERROR(__xludf.DUMMYFUNCTION("""COMPUTED_VALUE"""),"BALO K")</f>
        <v>BALO K</v>
      </c>
      <c r="C26" s="57">
        <f>IFERROR(__xludf.DUMMYFUNCTION("""COMPUTED_VALUE"""),16.0)</f>
        <v>16</v>
      </c>
      <c r="D26" s="57">
        <f>IFERROR(__xludf.DUMMYFUNCTION("""COMPUTED_VALUE"""),3.0)</f>
        <v>3</v>
      </c>
      <c r="E26" s="99">
        <f>IFERROR(__xludf.DUMMYFUNCTION("""COMPUTED_VALUE"""),19.0)</f>
        <v>19</v>
      </c>
      <c r="F26" s="57"/>
      <c r="G26" s="108" t="str">
        <f>IFERROR(__xludf.DUMMYFUNCTION("ARRAY_CONSTRAIN(
  SORT(
    FILTER(
      {Matches!C3:C1000, Matches!D3:D1000, Matches!H3:H1000, Matches!I3:I1000, ABS(Matches!H3:H1000-Matches!I3:I1000)},
      Matches!C3:C1000&lt;&gt;""""
    ),
    5, FALSE
  ),
  10, 5
)"),"ANIFE")</f>
        <v>ANIFE</v>
      </c>
      <c r="H26" s="57" t="str">
        <f>IFERROR(__xludf.DUMMYFUNCTION("""COMPUTED_VALUE"""),"FLICK")</f>
        <v>FLICK</v>
      </c>
      <c r="I26" s="57">
        <f>IFERROR(__xludf.DUMMYFUNCTION("""COMPUTED_VALUE"""),16.0)</f>
        <v>16</v>
      </c>
      <c r="J26" s="57">
        <f>IFERROR(__xludf.DUMMYFUNCTION("""COMPUTED_VALUE"""),2.0)</f>
        <v>2</v>
      </c>
      <c r="K26" s="99">
        <f>IFERROR(__xludf.DUMMYFUNCTION("""COMPUTED_VALUE"""),14.0)</f>
        <v>14</v>
      </c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>
      <c r="A27" s="108" t="str">
        <f>IFERROR(__xludf.DUMMYFUNCTION("""COMPUTED_VALUE"""),"ANIFE")</f>
        <v>ANIFE</v>
      </c>
      <c r="B27" s="57" t="str">
        <f>IFERROR(__xludf.DUMMYFUNCTION("""COMPUTED_VALUE"""),"FLICK")</f>
        <v>FLICK</v>
      </c>
      <c r="C27" s="57">
        <f>IFERROR(__xludf.DUMMYFUNCTION("""COMPUTED_VALUE"""),16.0)</f>
        <v>16</v>
      </c>
      <c r="D27" s="57">
        <f>IFERROR(__xludf.DUMMYFUNCTION("""COMPUTED_VALUE"""),2.0)</f>
        <v>2</v>
      </c>
      <c r="E27" s="99">
        <f>IFERROR(__xludf.DUMMYFUNCTION("""COMPUTED_VALUE"""),18.0)</f>
        <v>18</v>
      </c>
      <c r="F27" s="57"/>
      <c r="G27" s="108" t="str">
        <f>IFERROR(__xludf.DUMMYFUNCTION("""COMPUTED_VALUE"""),"GURU")</f>
        <v>GURU</v>
      </c>
      <c r="H27" s="115" t="str">
        <f>IFERROR(__xludf.DUMMYFUNCTION("""COMPUTED_VALUE"""),"BALO K")</f>
        <v>BALO K</v>
      </c>
      <c r="I27" s="57">
        <f>IFERROR(__xludf.DUMMYFUNCTION("""COMPUTED_VALUE"""),16.0)</f>
        <v>16</v>
      </c>
      <c r="J27" s="57">
        <f>IFERROR(__xludf.DUMMYFUNCTION("""COMPUTED_VALUE"""),3.0)</f>
        <v>3</v>
      </c>
      <c r="K27" s="99">
        <f>IFERROR(__xludf.DUMMYFUNCTION("""COMPUTED_VALUE"""),13.0)</f>
        <v>13</v>
      </c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>
      <c r="A28" s="108" t="str">
        <f>IFERROR(__xludf.DUMMYFUNCTION("""COMPUTED_VALUE"""),"SON OF GOD")</f>
        <v>SON OF GOD</v>
      </c>
      <c r="B28" s="57" t="str">
        <f>IFERROR(__xludf.DUMMYFUNCTION("""COMPUTED_VALUE"""),"KAYKAY")</f>
        <v>KAYKAY</v>
      </c>
      <c r="C28" s="57">
        <f>IFERROR(__xludf.DUMMYFUNCTION("""COMPUTED_VALUE"""),5.0)</f>
        <v>5</v>
      </c>
      <c r="D28" s="57">
        <f>IFERROR(__xludf.DUMMYFUNCTION("""COMPUTED_VALUE"""),13.0)</f>
        <v>13</v>
      </c>
      <c r="E28" s="99">
        <f>IFERROR(__xludf.DUMMYFUNCTION("""COMPUTED_VALUE"""),18.0)</f>
        <v>18</v>
      </c>
      <c r="F28" s="57"/>
      <c r="G28" s="108" t="str">
        <f>IFERROR(__xludf.DUMMYFUNCTION("""COMPUTED_VALUE"""),"SIMPLYY UZO")</f>
        <v>SIMPLYY UZO</v>
      </c>
      <c r="H28" s="57" t="str">
        <f>IFERROR(__xludf.DUMMYFUNCTION("""COMPUTED_VALUE"""),"TACTICAL")</f>
        <v>TACTICAL</v>
      </c>
      <c r="I28" s="57">
        <f>IFERROR(__xludf.DUMMYFUNCTION("""COMPUTED_VALUE"""),1.0)</f>
        <v>1</v>
      </c>
      <c r="J28" s="57">
        <f>IFERROR(__xludf.DUMMYFUNCTION("""COMPUTED_VALUE"""),12.0)</f>
        <v>12</v>
      </c>
      <c r="K28" s="99">
        <f>IFERROR(__xludf.DUMMYFUNCTION("""COMPUTED_VALUE"""),11.0)</f>
        <v>11</v>
      </c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>
      <c r="A29" s="108" t="str">
        <f>IFERROR(__xludf.DUMMYFUNCTION("""COMPUTED_VALUE"""),"BALO K")</f>
        <v>BALO K</v>
      </c>
      <c r="B29" s="57" t="str">
        <f>IFERROR(__xludf.DUMMYFUNCTION("""COMPUTED_VALUE"""),"SIMPLYY UZO")</f>
        <v>SIMPLYY UZO</v>
      </c>
      <c r="C29" s="57">
        <f>IFERROR(__xludf.DUMMYFUNCTION("""COMPUTED_VALUE"""),9.0)</f>
        <v>9</v>
      </c>
      <c r="D29" s="57">
        <f>IFERROR(__xludf.DUMMYFUNCTION("""COMPUTED_VALUE"""),8.0)</f>
        <v>8</v>
      </c>
      <c r="E29" s="99">
        <f>IFERROR(__xludf.DUMMYFUNCTION("""COMPUTED_VALUE"""),17.0)</f>
        <v>17</v>
      </c>
      <c r="F29" s="57"/>
      <c r="G29" s="108" t="str">
        <f>IFERROR(__xludf.DUMMYFUNCTION("""COMPUTED_VALUE"""),"DADABOI")</f>
        <v>DADABOI</v>
      </c>
      <c r="H29" s="57" t="str">
        <f>IFERROR(__xludf.DUMMYFUNCTION("""COMPUTED_VALUE"""),"KINGNONEX")</f>
        <v>KINGNONEX</v>
      </c>
      <c r="I29" s="57">
        <f>IFERROR(__xludf.DUMMYFUNCTION("""COMPUTED_VALUE"""),0.0)</f>
        <v>0</v>
      </c>
      <c r="J29" s="57">
        <f>IFERROR(__xludf.DUMMYFUNCTION("""COMPUTED_VALUE"""),10.0)</f>
        <v>10</v>
      </c>
      <c r="K29" s="99">
        <f>IFERROR(__xludf.DUMMYFUNCTION("""COMPUTED_VALUE"""),10.0)</f>
        <v>10</v>
      </c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>
      <c r="A30" s="108" t="str">
        <f>IFERROR(__xludf.DUMMYFUNCTION("""COMPUTED_VALUE"""),"KHALEEDOY")</f>
        <v>KHALEEDOY</v>
      </c>
      <c r="B30" s="57" t="str">
        <f>IFERROR(__xludf.DUMMYFUNCTION("""COMPUTED_VALUE"""),"SIMPLYY UZO")</f>
        <v>SIMPLYY UZO</v>
      </c>
      <c r="C30" s="57">
        <f>IFERROR(__xludf.DUMMYFUNCTION("""COMPUTED_VALUE"""),7.0)</f>
        <v>7</v>
      </c>
      <c r="D30" s="57">
        <f>IFERROR(__xludf.DUMMYFUNCTION("""COMPUTED_VALUE"""),9.0)</f>
        <v>9</v>
      </c>
      <c r="E30" s="99">
        <f>IFERROR(__xludf.DUMMYFUNCTION("""COMPUTED_VALUE"""),16.0)</f>
        <v>16</v>
      </c>
      <c r="F30" s="57"/>
      <c r="G30" s="108" t="str">
        <f>IFERROR(__xludf.DUMMYFUNCTION("""COMPUTED_VALUE"""),"ANIFE")</f>
        <v>ANIFE</v>
      </c>
      <c r="H30" s="57" t="str">
        <f>IFERROR(__xludf.DUMMYFUNCTION("""COMPUTED_VALUE"""),"BALO K")</f>
        <v>BALO K</v>
      </c>
      <c r="I30" s="57">
        <f>IFERROR(__xludf.DUMMYFUNCTION("""COMPUTED_VALUE"""),12.0)</f>
        <v>12</v>
      </c>
      <c r="J30" s="57">
        <f>IFERROR(__xludf.DUMMYFUNCTION("""COMPUTED_VALUE"""),3.0)</f>
        <v>3</v>
      </c>
      <c r="K30" s="99">
        <f>IFERROR(__xludf.DUMMYFUNCTION("""COMPUTED_VALUE"""),9.0)</f>
        <v>9</v>
      </c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>
      <c r="A31" s="108" t="str">
        <f>IFERROR(__xludf.DUMMYFUNCTION("""COMPUTED_VALUE"""),"TACTICAL")</f>
        <v>TACTICAL</v>
      </c>
      <c r="B31" s="57" t="str">
        <f>IFERROR(__xludf.DUMMYFUNCTION("""COMPUTED_VALUE"""),"GAMEWITHJOSH")</f>
        <v>GAMEWITHJOSH</v>
      </c>
      <c r="C31" s="57">
        <f>IFERROR(__xludf.DUMMYFUNCTION("""COMPUTED_VALUE"""),8.0)</f>
        <v>8</v>
      </c>
      <c r="D31" s="57">
        <f>IFERROR(__xludf.DUMMYFUNCTION("""COMPUTED_VALUE"""),8.0)</f>
        <v>8</v>
      </c>
      <c r="E31" s="99">
        <f>IFERROR(__xludf.DUMMYFUNCTION("""COMPUTED_VALUE"""),16.0)</f>
        <v>16</v>
      </c>
      <c r="F31" s="57"/>
      <c r="G31" s="108" t="str">
        <f>IFERROR(__xludf.DUMMYFUNCTION("""COMPUTED_VALUE"""),"FLICK")</f>
        <v>FLICK</v>
      </c>
      <c r="H31" s="57" t="str">
        <f>IFERROR(__xludf.DUMMYFUNCTION("""COMPUTED_VALUE"""),"KINGNONEX")</f>
        <v>KINGNONEX</v>
      </c>
      <c r="I31" s="57">
        <f>IFERROR(__xludf.DUMMYFUNCTION("""COMPUTED_VALUE"""),1.0)</f>
        <v>1</v>
      </c>
      <c r="J31" s="57">
        <f>IFERROR(__xludf.DUMMYFUNCTION("""COMPUTED_VALUE"""),10.0)</f>
        <v>10</v>
      </c>
      <c r="K31" s="99">
        <f>IFERROR(__xludf.DUMMYFUNCTION("""COMPUTED_VALUE"""),9.0)</f>
        <v>9</v>
      </c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>
      <c r="A32" s="108" t="str">
        <f>IFERROR(__xludf.DUMMYFUNCTION("""COMPUTED_VALUE"""),"SIMPLYY UZO")</f>
        <v>SIMPLYY UZO</v>
      </c>
      <c r="B32" s="57" t="str">
        <f>IFERROR(__xludf.DUMMYFUNCTION("""COMPUTED_VALUE"""),"ANIFE")</f>
        <v>ANIFE</v>
      </c>
      <c r="C32" s="57">
        <f>IFERROR(__xludf.DUMMYFUNCTION("""COMPUTED_VALUE"""),6.0)</f>
        <v>6</v>
      </c>
      <c r="D32" s="57">
        <f>IFERROR(__xludf.DUMMYFUNCTION("""COMPUTED_VALUE"""),10.0)</f>
        <v>10</v>
      </c>
      <c r="E32" s="99">
        <f>IFERROR(__xludf.DUMMYFUNCTION("""COMPUTED_VALUE"""),16.0)</f>
        <v>16</v>
      </c>
      <c r="F32" s="57"/>
      <c r="G32" s="108" t="str">
        <f>IFERROR(__xludf.DUMMYFUNCTION("""COMPUTED_VALUE"""),"GAMEWITHJOSH")</f>
        <v>GAMEWITHJOSH</v>
      </c>
      <c r="H32" s="57" t="str">
        <f>IFERROR(__xludf.DUMMYFUNCTION("""COMPUTED_VALUE"""),"BLAISE99")</f>
        <v>BLAISE99</v>
      </c>
      <c r="I32" s="57">
        <f>IFERROR(__xludf.DUMMYFUNCTION("""COMPUTED_VALUE"""),2.0)</f>
        <v>2</v>
      </c>
      <c r="J32" s="57">
        <f>IFERROR(__xludf.DUMMYFUNCTION("""COMPUTED_VALUE"""),10.0)</f>
        <v>10</v>
      </c>
      <c r="K32" s="99">
        <f>IFERROR(__xludf.DUMMYFUNCTION("""COMPUTED_VALUE"""),8.0)</f>
        <v>8</v>
      </c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>
      <c r="A33" s="108" t="str">
        <f>IFERROR(__xludf.DUMMYFUNCTION("""COMPUTED_VALUE"""),"BAJI SNR")</f>
        <v>BAJI SNR</v>
      </c>
      <c r="B33" s="57" t="str">
        <f>IFERROR(__xludf.DUMMYFUNCTION("""COMPUTED_VALUE"""),"KHALEEDOY")</f>
        <v>KHALEEDOY</v>
      </c>
      <c r="C33" s="57">
        <f>IFERROR(__xludf.DUMMYFUNCTION("""COMPUTED_VALUE"""),5.0)</f>
        <v>5</v>
      </c>
      <c r="D33" s="57">
        <f>IFERROR(__xludf.DUMMYFUNCTION("""COMPUTED_VALUE"""),10.0)</f>
        <v>10</v>
      </c>
      <c r="E33" s="99">
        <f>IFERROR(__xludf.DUMMYFUNCTION("""COMPUTED_VALUE"""),15.0)</f>
        <v>15</v>
      </c>
      <c r="F33" s="57"/>
      <c r="G33" s="108" t="str">
        <f>IFERROR(__xludf.DUMMYFUNCTION("""COMPUTED_VALUE"""),"KHALEEDOY")</f>
        <v>KHALEEDOY</v>
      </c>
      <c r="H33" s="57" t="str">
        <f>IFERROR(__xludf.DUMMYFUNCTION("""COMPUTED_VALUE"""),"FLICK")</f>
        <v>FLICK</v>
      </c>
      <c r="I33" s="57">
        <f>IFERROR(__xludf.DUMMYFUNCTION("""COMPUTED_VALUE"""),10.0)</f>
        <v>10</v>
      </c>
      <c r="J33" s="57">
        <f>IFERROR(__xludf.DUMMYFUNCTION("""COMPUTED_VALUE"""),2.0)</f>
        <v>2</v>
      </c>
      <c r="K33" s="99">
        <f>IFERROR(__xludf.DUMMYFUNCTION("""COMPUTED_VALUE"""),8.0)</f>
        <v>8</v>
      </c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>
      <c r="A34" s="108" t="str">
        <f>IFERROR(__xludf.DUMMYFUNCTION("""COMPUTED_VALUE"""),"ANIFE")</f>
        <v>ANIFE</v>
      </c>
      <c r="B34" s="57" t="str">
        <f>IFERROR(__xludf.DUMMYFUNCTION("""COMPUTED_VALUE"""),"BALO K")</f>
        <v>BALO K</v>
      </c>
      <c r="C34" s="57">
        <f>IFERROR(__xludf.DUMMYFUNCTION("""COMPUTED_VALUE"""),12.0)</f>
        <v>12</v>
      </c>
      <c r="D34" s="57">
        <f>IFERROR(__xludf.DUMMYFUNCTION("""COMPUTED_VALUE"""),3.0)</f>
        <v>3</v>
      </c>
      <c r="E34" s="99">
        <f>IFERROR(__xludf.DUMMYFUNCTION("""COMPUTED_VALUE"""),15.0)</f>
        <v>15</v>
      </c>
      <c r="F34" s="57"/>
      <c r="G34" s="108" t="str">
        <f>IFERROR(__xludf.DUMMYFUNCTION("""COMPUTED_VALUE"""),"SON OF GOD")</f>
        <v>SON OF GOD</v>
      </c>
      <c r="H34" s="57" t="str">
        <f>IFERROR(__xludf.DUMMYFUNCTION("""COMPUTED_VALUE"""),"KAYKAY")</f>
        <v>KAYKAY</v>
      </c>
      <c r="I34" s="57">
        <f>IFERROR(__xludf.DUMMYFUNCTION("""COMPUTED_VALUE"""),5.0)</f>
        <v>5</v>
      </c>
      <c r="J34" s="57">
        <f>IFERROR(__xludf.DUMMYFUNCTION("""COMPUTED_VALUE"""),13.0)</f>
        <v>13</v>
      </c>
      <c r="K34" s="99">
        <f>IFERROR(__xludf.DUMMYFUNCTION("""COMPUTED_VALUE"""),8.0)</f>
        <v>8</v>
      </c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>
      <c r="A35" s="111" t="str">
        <f>IFERROR(__xludf.DUMMYFUNCTION("""COMPUTED_VALUE"""),"BRIGHT")</f>
        <v>BRIGHT</v>
      </c>
      <c r="B35" s="112" t="str">
        <f>IFERROR(__xludf.DUMMYFUNCTION("""COMPUTED_VALUE"""),"GAMEWITHJOSH")</f>
        <v>GAMEWITHJOSH</v>
      </c>
      <c r="C35" s="112">
        <f>IFERROR(__xludf.DUMMYFUNCTION("""COMPUTED_VALUE"""),6.0)</f>
        <v>6</v>
      </c>
      <c r="D35" s="112">
        <f>IFERROR(__xludf.DUMMYFUNCTION("""COMPUTED_VALUE"""),9.0)</f>
        <v>9</v>
      </c>
      <c r="E35" s="101">
        <f>IFERROR(__xludf.DUMMYFUNCTION("""COMPUTED_VALUE"""),15.0)</f>
        <v>15</v>
      </c>
      <c r="F35" s="57"/>
      <c r="G35" s="111" t="str">
        <f>IFERROR(__xludf.DUMMYFUNCTION("""COMPUTED_VALUE"""),"DADABOI")</f>
        <v>DADABOI</v>
      </c>
      <c r="H35" s="112" t="str">
        <f>IFERROR(__xludf.DUMMYFUNCTION("""COMPUTED_VALUE"""),"BALO K")</f>
        <v>BALO K</v>
      </c>
      <c r="I35" s="112">
        <f>IFERROR(__xludf.DUMMYFUNCTION("""COMPUTED_VALUE"""),9.0)</f>
        <v>9</v>
      </c>
      <c r="J35" s="112">
        <f>IFERROR(__xludf.DUMMYFUNCTION("""COMPUTED_VALUE"""),1.0)</f>
        <v>1</v>
      </c>
      <c r="K35" s="101">
        <f>IFERROR(__xludf.DUMMYFUNCTION("""COMPUTED_VALUE"""),8.0)</f>
        <v>8</v>
      </c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mergeCells count="3">
    <mergeCell ref="F10:G10"/>
    <mergeCell ref="I10:J10"/>
    <mergeCell ref="L10:M10"/>
  </mergeCells>
  <drawing r:id="rId1"/>
</worksheet>
</file>